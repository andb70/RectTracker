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andb7\source\repos\RectTracker\"/>
    </mc:Choice>
  </mc:AlternateContent>
  <xr:revisionPtr revIDLastSave="0" documentId="13_ncr:1_{379E4514-21B1-4A5A-A2DB-BF09E34B3F33}" xr6:coauthVersionLast="43" xr6:coauthVersionMax="43" xr10:uidLastSave="{00000000-0000-0000-0000-000000000000}"/>
  <bookViews>
    <workbookView xWindow="-120" yWindow="-120" windowWidth="29040" windowHeight="16440" xr2:uid="{B780A16B-7B58-40DA-B550-D1779547CBDD}"/>
  </bookViews>
  <sheets>
    <sheet name="Mappa" sheetId="2" r:id="rId1"/>
    <sheet name="Foglio1" sheetId="3" r:id="rId2"/>
  </sheets>
  <definedNames>
    <definedName name="H">Mappa!$P$32</definedName>
    <definedName name="pyRECT">Mappa!$G$36</definedName>
    <definedName name="RECT">Mappa!$G$35</definedName>
    <definedName name="sH">Mappa!$T$32</definedName>
    <definedName name="sW">Mappa!$S$32</definedName>
    <definedName name="W">Mappa!$N$32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4" i="3" l="1"/>
  <c r="I4" i="3"/>
  <c r="J4" i="3"/>
  <c r="K4" i="3"/>
  <c r="A5" i="3"/>
  <c r="H5" i="3"/>
  <c r="I5" i="3"/>
  <c r="J5" i="3"/>
  <c r="K5" i="3"/>
  <c r="A6" i="3"/>
  <c r="H6" i="3"/>
  <c r="I6" i="3"/>
  <c r="J6" i="3"/>
  <c r="K6" i="3"/>
  <c r="A7" i="3"/>
  <c r="H7" i="3"/>
  <c r="I7" i="3"/>
  <c r="J7" i="3"/>
  <c r="K7" i="3"/>
  <c r="A8" i="3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H8" i="3"/>
  <c r="I8" i="3"/>
  <c r="J8" i="3"/>
  <c r="K8" i="3"/>
  <c r="H9" i="3"/>
  <c r="I9" i="3"/>
  <c r="J9" i="3"/>
  <c r="K9" i="3"/>
  <c r="H10" i="3"/>
  <c r="I10" i="3"/>
  <c r="J10" i="3"/>
  <c r="K10" i="3"/>
  <c r="H11" i="3"/>
  <c r="I11" i="3"/>
  <c r="J11" i="3"/>
  <c r="K11" i="3"/>
  <c r="H12" i="3"/>
  <c r="I12" i="3"/>
  <c r="J12" i="3"/>
  <c r="K12" i="3"/>
  <c r="H13" i="3"/>
  <c r="I13" i="3"/>
  <c r="J13" i="3"/>
  <c r="K13" i="3"/>
  <c r="H14" i="3"/>
  <c r="I14" i="3"/>
  <c r="J14" i="3"/>
  <c r="K14" i="3"/>
  <c r="H15" i="3"/>
  <c r="I15" i="3"/>
  <c r="J15" i="3"/>
  <c r="K15" i="3"/>
  <c r="H16" i="3"/>
  <c r="I16" i="3"/>
  <c r="J16" i="3"/>
  <c r="K16" i="3"/>
  <c r="H17" i="3"/>
  <c r="I17" i="3"/>
  <c r="J17" i="3"/>
  <c r="K17" i="3"/>
  <c r="H18" i="3"/>
  <c r="I18" i="3"/>
  <c r="J18" i="3"/>
  <c r="K18" i="3"/>
  <c r="H19" i="3"/>
  <c r="I19" i="3"/>
  <c r="J19" i="3"/>
  <c r="K19" i="3"/>
  <c r="H20" i="3"/>
  <c r="I20" i="3"/>
  <c r="J20" i="3"/>
  <c r="K20" i="3"/>
  <c r="H21" i="3"/>
  <c r="I21" i="3"/>
  <c r="J21" i="3"/>
  <c r="K21" i="3"/>
  <c r="H22" i="3"/>
  <c r="I22" i="3"/>
  <c r="J22" i="3"/>
  <c r="K22" i="3"/>
  <c r="H23" i="3"/>
  <c r="I23" i="3"/>
  <c r="J23" i="3"/>
  <c r="K23" i="3"/>
  <c r="H24" i="3"/>
  <c r="I24" i="3"/>
  <c r="J24" i="3"/>
  <c r="K24" i="3"/>
  <c r="H25" i="3"/>
  <c r="I25" i="3"/>
  <c r="J25" i="3"/>
  <c r="K25" i="3"/>
  <c r="H26" i="3"/>
  <c r="I26" i="3"/>
  <c r="J26" i="3"/>
  <c r="K26" i="3"/>
  <c r="H27" i="3"/>
  <c r="I27" i="3"/>
  <c r="J27" i="3"/>
  <c r="K27" i="3"/>
  <c r="AX2" i="2" l="1"/>
  <c r="AY2" i="2"/>
  <c r="AZ2" i="2"/>
  <c r="BA2" i="2"/>
  <c r="AA32" i="2"/>
  <c r="X32" i="2"/>
  <c r="AV8" i="2"/>
  <c r="AW8" i="2"/>
  <c r="AX8" i="2"/>
  <c r="AY8" i="2"/>
  <c r="AZ8" i="2"/>
  <c r="BA8" i="2"/>
  <c r="AV9" i="2"/>
  <c r="AW9" i="2"/>
  <c r="AX9" i="2"/>
  <c r="AY9" i="2"/>
  <c r="BB9" i="2" s="1"/>
  <c r="AZ9" i="2"/>
  <c r="BA9" i="2"/>
  <c r="AV10" i="2"/>
  <c r="AW10" i="2"/>
  <c r="AX10" i="2"/>
  <c r="AY10" i="2"/>
  <c r="AZ10" i="2"/>
  <c r="BA10" i="2"/>
  <c r="AV11" i="2"/>
  <c r="AW11" i="2"/>
  <c r="AX11" i="2"/>
  <c r="AY11" i="2"/>
  <c r="BB11" i="2" s="1"/>
  <c r="AZ11" i="2"/>
  <c r="BA11" i="2"/>
  <c r="AV12" i="2"/>
  <c r="AW12" i="2"/>
  <c r="AX12" i="2"/>
  <c r="AY12" i="2"/>
  <c r="AZ12" i="2"/>
  <c r="BA12" i="2"/>
  <c r="AV13" i="2"/>
  <c r="AW13" i="2"/>
  <c r="AX13" i="2"/>
  <c r="AY13" i="2"/>
  <c r="BB13" i="2" s="1"/>
  <c r="AZ13" i="2"/>
  <c r="BA13" i="2"/>
  <c r="AV14" i="2"/>
  <c r="AW14" i="2"/>
  <c r="AX14" i="2"/>
  <c r="AY14" i="2"/>
  <c r="AZ14" i="2"/>
  <c r="BA14" i="2"/>
  <c r="AV15" i="2"/>
  <c r="AW15" i="2"/>
  <c r="AX15" i="2"/>
  <c r="AY15" i="2"/>
  <c r="AZ15" i="2"/>
  <c r="BA15" i="2"/>
  <c r="AV16" i="2"/>
  <c r="AW16" i="2"/>
  <c r="AX16" i="2"/>
  <c r="AY16" i="2"/>
  <c r="AZ16" i="2"/>
  <c r="BA16" i="2"/>
  <c r="AV17" i="2"/>
  <c r="AW17" i="2"/>
  <c r="AX17" i="2"/>
  <c r="AY17" i="2"/>
  <c r="BB17" i="2" s="1"/>
  <c r="AZ17" i="2"/>
  <c r="BA17" i="2"/>
  <c r="AV18" i="2"/>
  <c r="AW18" i="2"/>
  <c r="AX18" i="2"/>
  <c r="AY18" i="2"/>
  <c r="AZ18" i="2"/>
  <c r="BA18" i="2"/>
  <c r="AV19" i="2"/>
  <c r="AW19" i="2"/>
  <c r="AX19" i="2"/>
  <c r="AY19" i="2"/>
  <c r="BB19" i="2" s="1"/>
  <c r="AZ19" i="2"/>
  <c r="BA19" i="2"/>
  <c r="AV20" i="2"/>
  <c r="AW20" i="2"/>
  <c r="AX20" i="2"/>
  <c r="AY20" i="2"/>
  <c r="AZ20" i="2"/>
  <c r="BA20" i="2"/>
  <c r="AV21" i="2"/>
  <c r="AW21" i="2"/>
  <c r="AX21" i="2"/>
  <c r="AY21" i="2"/>
  <c r="BB21" i="2" s="1"/>
  <c r="AZ21" i="2"/>
  <c r="BA21" i="2"/>
  <c r="AV22" i="2"/>
  <c r="AW22" i="2"/>
  <c r="AX22" i="2"/>
  <c r="AY22" i="2"/>
  <c r="AZ22" i="2"/>
  <c r="BA22" i="2"/>
  <c r="AV23" i="2"/>
  <c r="AW23" i="2"/>
  <c r="AX23" i="2"/>
  <c r="AY23" i="2"/>
  <c r="AZ23" i="2"/>
  <c r="BA23" i="2"/>
  <c r="AV24" i="2"/>
  <c r="AW24" i="2"/>
  <c r="AX24" i="2"/>
  <c r="AY24" i="2"/>
  <c r="AZ24" i="2"/>
  <c r="BA24" i="2"/>
  <c r="AV25" i="2"/>
  <c r="AW25" i="2"/>
  <c r="AX25" i="2"/>
  <c r="AY25" i="2"/>
  <c r="BB25" i="2" s="1"/>
  <c r="AZ25" i="2"/>
  <c r="BA25" i="2"/>
  <c r="AV26" i="2"/>
  <c r="AW26" i="2"/>
  <c r="AX26" i="2"/>
  <c r="AY26" i="2"/>
  <c r="AZ26" i="2"/>
  <c r="BA26" i="2"/>
  <c r="AV27" i="2"/>
  <c r="AW27" i="2"/>
  <c r="AX27" i="2"/>
  <c r="AY27" i="2"/>
  <c r="AZ27" i="2"/>
  <c r="BA27" i="2"/>
  <c r="AV28" i="2"/>
  <c r="AW28" i="2"/>
  <c r="AX28" i="2"/>
  <c r="AY28" i="2"/>
  <c r="AZ28" i="2"/>
  <c r="BA28" i="2"/>
  <c r="AV29" i="2"/>
  <c r="AW29" i="2"/>
  <c r="AX29" i="2"/>
  <c r="AY29" i="2"/>
  <c r="AZ29" i="2"/>
  <c r="BA29" i="2"/>
  <c r="AV30" i="2"/>
  <c r="AW30" i="2"/>
  <c r="AX30" i="2"/>
  <c r="AY30" i="2"/>
  <c r="AZ30" i="2"/>
  <c r="BA30" i="2"/>
  <c r="AV31" i="2"/>
  <c r="AW31" i="2"/>
  <c r="AX31" i="2"/>
  <c r="AY31" i="2"/>
  <c r="BB31" i="2" s="1"/>
  <c r="AZ31" i="2"/>
  <c r="BA31" i="2"/>
  <c r="AV32" i="2"/>
  <c r="AW32" i="2"/>
  <c r="AX32" i="2"/>
  <c r="AY32" i="2"/>
  <c r="AZ32" i="2"/>
  <c r="BA32" i="2"/>
  <c r="AV33" i="2"/>
  <c r="AW33" i="2"/>
  <c r="AX33" i="2"/>
  <c r="AY33" i="2"/>
  <c r="AZ33" i="2"/>
  <c r="BA33" i="2"/>
  <c r="AV34" i="2"/>
  <c r="AW34" i="2"/>
  <c r="AX34" i="2"/>
  <c r="AY34" i="2"/>
  <c r="AZ34" i="2"/>
  <c r="BA34" i="2"/>
  <c r="AV35" i="2"/>
  <c r="AW35" i="2"/>
  <c r="AX35" i="2"/>
  <c r="AY35" i="2"/>
  <c r="BB35" i="2" s="1"/>
  <c r="AZ35" i="2"/>
  <c r="BA35" i="2"/>
  <c r="AV36" i="2"/>
  <c r="AW36" i="2"/>
  <c r="AX36" i="2"/>
  <c r="AY36" i="2"/>
  <c r="AZ36" i="2"/>
  <c r="BA36" i="2"/>
  <c r="AV37" i="2"/>
  <c r="AW37" i="2"/>
  <c r="AX37" i="2"/>
  <c r="AY37" i="2"/>
  <c r="AZ37" i="2"/>
  <c r="BA37" i="2"/>
  <c r="AV38" i="2"/>
  <c r="AW38" i="2"/>
  <c r="AX38" i="2"/>
  <c r="AY38" i="2"/>
  <c r="AZ38" i="2"/>
  <c r="BA38" i="2"/>
  <c r="AV39" i="2"/>
  <c r="AW39" i="2"/>
  <c r="AX39" i="2"/>
  <c r="AY39" i="2"/>
  <c r="BB39" i="2" s="1"/>
  <c r="AZ39" i="2"/>
  <c r="BA39" i="2"/>
  <c r="AV40" i="2"/>
  <c r="AW40" i="2"/>
  <c r="AX40" i="2"/>
  <c r="AY40" i="2"/>
  <c r="AZ40" i="2"/>
  <c r="BA40" i="2"/>
  <c r="AV41" i="2"/>
  <c r="AW41" i="2"/>
  <c r="AX41" i="2"/>
  <c r="AY41" i="2"/>
  <c r="AZ41" i="2"/>
  <c r="BA41" i="2"/>
  <c r="AV42" i="2"/>
  <c r="AW42" i="2"/>
  <c r="AX42" i="2"/>
  <c r="AY42" i="2"/>
  <c r="AZ42" i="2"/>
  <c r="BA42" i="2"/>
  <c r="AV43" i="2"/>
  <c r="AW43" i="2"/>
  <c r="AX43" i="2"/>
  <c r="AY43" i="2"/>
  <c r="BB43" i="2" s="1"/>
  <c r="AZ43" i="2"/>
  <c r="BA43" i="2"/>
  <c r="AZ3" i="2"/>
  <c r="BA3" i="2"/>
  <c r="AZ4" i="2"/>
  <c r="BA4" i="2"/>
  <c r="AZ5" i="2"/>
  <c r="BA5" i="2"/>
  <c r="AZ6" i="2"/>
  <c r="BA6" i="2"/>
  <c r="AZ7" i="2"/>
  <c r="BA7" i="2"/>
  <c r="AV3" i="2"/>
  <c r="AW3" i="2"/>
  <c r="AX3" i="2"/>
  <c r="AY3" i="2"/>
  <c r="BD3" i="2" s="1"/>
  <c r="AV4" i="2"/>
  <c r="AW4" i="2"/>
  <c r="AX4" i="2"/>
  <c r="AY4" i="2"/>
  <c r="AV5" i="2"/>
  <c r="AW5" i="2"/>
  <c r="AX5" i="2"/>
  <c r="AY5" i="2"/>
  <c r="BD5" i="2" s="1"/>
  <c r="AV6" i="2"/>
  <c r="AW6" i="2"/>
  <c r="AX6" i="2"/>
  <c r="AY6" i="2"/>
  <c r="BB6" i="2" s="1"/>
  <c r="AV7" i="2"/>
  <c r="AW7" i="2"/>
  <c r="AX7" i="2"/>
  <c r="AY7" i="2"/>
  <c r="BD7" i="2" s="1"/>
  <c r="AW2" i="2"/>
  <c r="AV2" i="2"/>
  <c r="BD41" i="2" l="1"/>
  <c r="BD37" i="2"/>
  <c r="BD33" i="2"/>
  <c r="BD29" i="2"/>
  <c r="BD27" i="2"/>
  <c r="BD23" i="2"/>
  <c r="BD15" i="2"/>
  <c r="BD42" i="2"/>
  <c r="BD40" i="2"/>
  <c r="BD38" i="2"/>
  <c r="BD36" i="2"/>
  <c r="BD34" i="2"/>
  <c r="BD32" i="2"/>
  <c r="BD30" i="2"/>
  <c r="BD28" i="2"/>
  <c r="BD26" i="2"/>
  <c r="BD24" i="2"/>
  <c r="BD22" i="2"/>
  <c r="BD20" i="2"/>
  <c r="BD18" i="2"/>
  <c r="BD16" i="2"/>
  <c r="BD14" i="2"/>
  <c r="BD12" i="2"/>
  <c r="BD10" i="2"/>
  <c r="BD8" i="2"/>
  <c r="BD2" i="2"/>
  <c r="BB27" i="2"/>
  <c r="BB23" i="2"/>
  <c r="BB15" i="2"/>
  <c r="BB7" i="2"/>
  <c r="BB42" i="2"/>
  <c r="BB38" i="2"/>
  <c r="BB34" i="2"/>
  <c r="BB30" i="2"/>
  <c r="BB26" i="2"/>
  <c r="BB22" i="2"/>
  <c r="BB18" i="2"/>
  <c r="BB14" i="2"/>
  <c r="BB10" i="2"/>
  <c r="BD6" i="2"/>
  <c r="BB2" i="2"/>
  <c r="BB41" i="2"/>
  <c r="BB37" i="2"/>
  <c r="BB33" i="2"/>
  <c r="BB29" i="2"/>
  <c r="BB5" i="2"/>
  <c r="BD4" i="2"/>
  <c r="BD43" i="2"/>
  <c r="BD39" i="2"/>
  <c r="BD35" i="2"/>
  <c r="BD31" i="2"/>
  <c r="BD25" i="2"/>
  <c r="BD21" i="2"/>
  <c r="BD19" i="2"/>
  <c r="BD17" i="2"/>
  <c r="BD13" i="2"/>
  <c r="BD11" i="2"/>
  <c r="BD9" i="2"/>
  <c r="BB3" i="2"/>
  <c r="BB40" i="2"/>
  <c r="BB36" i="2"/>
  <c r="BB32" i="2"/>
  <c r="BB28" i="2"/>
  <c r="BB24" i="2"/>
  <c r="BB20" i="2"/>
  <c r="BB16" i="2"/>
  <c r="BB12" i="2"/>
  <c r="BB8" i="2"/>
  <c r="BB4" i="2"/>
</calcChain>
</file>

<file path=xl/sharedStrings.xml><?xml version="1.0" encoding="utf-8"?>
<sst xmlns="http://schemas.openxmlformats.org/spreadsheetml/2006/main" count="101" uniqueCount="73">
  <si>
    <t>galleria</t>
  </si>
  <si>
    <t>cassa</t>
  </si>
  <si>
    <t>ingresso</t>
  </si>
  <si>
    <t>corsia 1</t>
  </si>
  <si>
    <t>corsia 2</t>
  </si>
  <si>
    <t>corsia 3</t>
  </si>
  <si>
    <t>corsia 4</t>
  </si>
  <si>
    <t>corsia 5</t>
  </si>
  <si>
    <t>corsia 6</t>
  </si>
  <si>
    <t>promo 1</t>
  </si>
  <si>
    <t>corisa 7</t>
  </si>
  <si>
    <t>corisa 8</t>
  </si>
  <si>
    <t>promo 2</t>
  </si>
  <si>
    <t>acque</t>
  </si>
  <si>
    <t>vini</t>
  </si>
  <si>
    <t>birre</t>
  </si>
  <si>
    <t>snacs</t>
  </si>
  <si>
    <t>pet</t>
  </si>
  <si>
    <t>servito 1</t>
  </si>
  <si>
    <t>servito 2</t>
  </si>
  <si>
    <t>servito 3</t>
  </si>
  <si>
    <t>corridoio 1</t>
  </si>
  <si>
    <t>corridoio 2</t>
  </si>
  <si>
    <t>corridoio3</t>
  </si>
  <si>
    <t>corridoio 4</t>
  </si>
  <si>
    <t>e</t>
  </si>
  <si>
    <t>name</t>
  </si>
  <si>
    <t>color</t>
  </si>
  <si>
    <t>top</t>
  </si>
  <si>
    <t>left</t>
  </si>
  <si>
    <t>height</t>
  </si>
  <si>
    <t>width</t>
  </si>
  <si>
    <t>Id</t>
  </si>
  <si>
    <t>Name</t>
  </si>
  <si>
    <t>new Zone { Id = %i, Name = "%n", Rect = new Rect { Left = %L, Top = %T, Width = %W, Height = %H } }</t>
  </si>
  <si>
    <t>Colora dei rettangoli e assegnare un nome alla cella in alto a sinistra di ognuno</t>
  </si>
  <si>
    <t>cancella il contnuto delle colonne AO:AT</t>
  </si>
  <si>
    <t>resolution constraint</t>
  </si>
  <si>
    <t>code pattern</t>
  </si>
  <si>
    <t>Premi "Genera codice"</t>
  </si>
  <si>
    <t>Elimina le celle in più nelle colonne AV:BB o aggiungine (trascinando) se necessario</t>
  </si>
  <si>
    <t>CODE C#</t>
  </si>
  <si>
    <t>C#</t>
  </si>
  <si>
    <t>py</t>
  </si>
  <si>
    <t>Zone(id = %i, name = "%n", rect = Rect(left = %L, top = %T, width = %W, height = %H))</t>
  </si>
  <si>
    <t>CODE Python</t>
  </si>
  <si>
    <t>ingresso 2</t>
  </si>
  <si>
    <t>ingresso 1</t>
  </si>
  <si>
    <t>cassa 2</t>
  </si>
  <si>
    <t>cassa 1</t>
  </si>
  <si>
    <t>corridoio</t>
  </si>
  <si>
    <t>banco carni 2</t>
  </si>
  <si>
    <t>banco carni 1</t>
  </si>
  <si>
    <t>promo</t>
  </si>
  <si>
    <t>prodotti da  forno</t>
  </si>
  <si>
    <t>formaggi 2</t>
  </si>
  <si>
    <t>formaggi 1</t>
  </si>
  <si>
    <t>parete 4</t>
  </si>
  <si>
    <t>parete 3</t>
  </si>
  <si>
    <t>parete 2</t>
  </si>
  <si>
    <t>parete 1</t>
  </si>
  <si>
    <t>scaffale 2</t>
  </si>
  <si>
    <t>scaffale 1</t>
  </si>
  <si>
    <t>Banco carni</t>
  </si>
  <si>
    <t>Banco Formaggi</t>
  </si>
  <si>
    <t>perimetro</t>
  </si>
  <si>
    <t>H</t>
  </si>
  <si>
    <t>W</t>
  </si>
  <si>
    <t>Y</t>
  </si>
  <si>
    <t>X</t>
  </si>
  <si>
    <t>Zona</t>
  </si>
  <si>
    <t>id</t>
  </si>
  <si>
    <t>finestra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</si>
</sst>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1"/>
      <color theme="9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3" borderId="0" xfId="0" applyFill="1"/>
    <xf numFmtId="0" fontId="0" fillId="2" borderId="0" xfId="0" applyFill="1"/>
    <xf numFmtId="2" fontId="2" fillId="3" borderId="0" xfId="0" applyNumberFormat="1" applyFont="1" applyFill="1"/>
    <xf numFmtId="0" fontId="3" fillId="0" borderId="0" xfId="0" applyFont="1"/>
    <xf numFmtId="0" fontId="4" fillId="3" borderId="0" xfId="0" applyFont="1" applyFill="1"/>
    <xf numFmtId="0" fontId="1" fillId="0" borderId="0" xfId="0" applyFont="1"/>
    <xf numFmtId="0" fontId="6" fillId="0" borderId="0" xfId="0" applyFont="1"/>
    <xf numFmtId="1" fontId="4" fillId="3" borderId="0" xfId="0" applyNumberFormat="1" applyFont="1" applyFill="1"/>
    <xf numFmtId="1" fontId="1" fillId="0" borderId="0" xfId="0" applyNumberFormat="1" applyFont="1"/>
    <xf numFmtId="1" fontId="0" fillId="0" borderId="0" xfId="0" applyNumberFormat="1"/>
    <xf numFmtId="0" fontId="0" fillId="4" borderId="0" xfId="0" applyFill="1"/>
    <xf numFmtId="0" fontId="0" fillId="5" borderId="0" xfId="0" applyFill="1"/>
    <xf numFmtId="0" fontId="0" fillId="2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right" indent="3"/>
    </xf>
    <xf numFmtId="0" fontId="2" fillId="0" borderId="0" xfId="0" applyFont="1" applyAlignment="1">
      <alignment horizontal="center"/>
    </xf>
    <xf numFmtId="0" fontId="2" fillId="0" borderId="0" xfId="0" applyFon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180975</xdr:colOff>
          <xdr:row>38</xdr:row>
          <xdr:rowOff>9525</xdr:rowOff>
        </xdr:from>
        <xdr:to>
          <xdr:col>38</xdr:col>
          <xdr:colOff>47625</xdr:colOff>
          <xdr:row>41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codice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C31A1-64AE-42D9-87DA-6F736403EA8E}">
  <sheetPr codeName="Map"/>
  <dimension ref="A1:BD43"/>
  <sheetViews>
    <sheetView tabSelected="1" workbookViewId="0">
      <selection activeCell="AM28" sqref="AM28:AN30"/>
    </sheetView>
  </sheetViews>
  <sheetFormatPr defaultColWidth="3.140625" defaultRowHeight="15" x14ac:dyDescent="0.25"/>
  <cols>
    <col min="41" max="41" width="10.42578125" bestFit="1" customWidth="1"/>
    <col min="42" max="42" width="9" bestFit="1" customWidth="1"/>
    <col min="43" max="43" width="4" bestFit="1" customWidth="1"/>
    <col min="44" max="44" width="4.140625" bestFit="1" customWidth="1"/>
    <col min="45" max="45" width="6.7109375" bestFit="1" customWidth="1"/>
    <col min="46" max="46" width="6.140625" bestFit="1" customWidth="1"/>
    <col min="48" max="48" width="3" bestFit="1" customWidth="1"/>
    <col min="49" max="49" width="10.42578125" bestFit="1" customWidth="1"/>
    <col min="50" max="53" width="5.42578125" style="10" customWidth="1"/>
    <col min="54" max="54" width="17" customWidth="1"/>
    <col min="56" max="56" width="21.140625" customWidth="1"/>
  </cols>
  <sheetData>
    <row r="1" spans="1:56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2"/>
      <c r="AN1" s="12"/>
      <c r="AO1" s="1" t="s">
        <v>26</v>
      </c>
      <c r="AP1" s="1" t="s">
        <v>27</v>
      </c>
      <c r="AQ1" s="1" t="s">
        <v>28</v>
      </c>
      <c r="AR1" s="1" t="s">
        <v>29</v>
      </c>
      <c r="AS1" s="1" t="s">
        <v>30</v>
      </c>
      <c r="AT1" s="1" t="s">
        <v>31</v>
      </c>
      <c r="AV1" s="5" t="s">
        <v>32</v>
      </c>
      <c r="AW1" s="5" t="s">
        <v>33</v>
      </c>
      <c r="AX1" s="8" t="s">
        <v>28</v>
      </c>
      <c r="AY1" s="8" t="s">
        <v>29</v>
      </c>
      <c r="AZ1" s="8" t="s">
        <v>30</v>
      </c>
      <c r="BA1" s="8" t="s">
        <v>31</v>
      </c>
      <c r="BB1" s="3" t="s">
        <v>41</v>
      </c>
      <c r="BD1" s="3" t="s">
        <v>45</v>
      </c>
    </row>
    <row r="2" spans="1:56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2"/>
      <c r="AN2" s="12"/>
      <c r="AO2" s="1" t="s">
        <v>0</v>
      </c>
      <c r="AP2" s="1">
        <v>65535</v>
      </c>
      <c r="AQ2" s="1">
        <v>0</v>
      </c>
      <c r="AR2" s="1">
        <v>0</v>
      </c>
      <c r="AS2" s="1">
        <v>30</v>
      </c>
      <c r="AT2" s="1">
        <v>4</v>
      </c>
      <c r="AV2" s="6">
        <f>ROW(AO2)-1</f>
        <v>1</v>
      </c>
      <c r="AW2" s="6" t="str">
        <f>AO2</f>
        <v>galleria</v>
      </c>
      <c r="AX2" s="9">
        <f t="shared" ref="AX2:AX43" si="0">AQ2*H/sH</f>
        <v>0</v>
      </c>
      <c r="AY2" s="9">
        <f t="shared" ref="AY2:AY43" si="1">AR2*W/sW</f>
        <v>0</v>
      </c>
      <c r="AZ2" s="9">
        <f t="shared" ref="AZ2:AZ43" si="2">AS2*H/sH</f>
        <v>720</v>
      </c>
      <c r="BA2" s="9">
        <f t="shared" ref="BA2:BA43" si="3">AT2*W/sW</f>
        <v>128</v>
      </c>
      <c r="BB2" s="4" t="str">
        <f>SUBSTITUTE(SUBSTITUTE(SUBSTITUTE(SUBSTITUTE(SUBSTITUTE(SUBSTITUTE(RECT,"%i",AV2),"%n",AW2),"%L",AY2),"%T",AX2),"%W",BA2),"%H",AZ2)</f>
        <v>new Zone { Id = 1, Name = "galleria", Rect = new Rect { Left = 0, Top = 0, Width = 128, Height = 720 } }</v>
      </c>
      <c r="BD2" s="7" t="str">
        <f>SUBSTITUTE(SUBSTITUTE(SUBSTITUTE(SUBSTITUTE(SUBSTITUTE(SUBSTITUTE(pyRECT,"%i",AV2),"%n",AW2),"%L",AY2),"%T",AX2),"%W",BA2),"%H",AZ2)</f>
        <v>Zone(id = 1, name = "galleria", rect = Rect(left = 0, top = 0, width = 128, height = 720))</v>
      </c>
    </row>
    <row r="3" spans="1:56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2"/>
      <c r="AN3" s="12"/>
      <c r="AO3" s="1" t="s">
        <v>25</v>
      </c>
      <c r="AP3" s="1">
        <v>14277081</v>
      </c>
      <c r="AQ3" s="1">
        <v>0</v>
      </c>
      <c r="AR3" s="1">
        <v>4</v>
      </c>
      <c r="AS3" s="1">
        <v>5</v>
      </c>
      <c r="AT3" s="1">
        <v>3</v>
      </c>
      <c r="AV3" s="6">
        <f t="shared" ref="AV3:AV7" si="4">ROW(AO3)-1</f>
        <v>2</v>
      </c>
      <c r="AW3" s="6" t="str">
        <f t="shared" ref="AW3:AW7" si="5">AO3</f>
        <v>e</v>
      </c>
      <c r="AX3" s="9">
        <f t="shared" si="0"/>
        <v>0</v>
      </c>
      <c r="AY3" s="9">
        <f t="shared" si="1"/>
        <v>128</v>
      </c>
      <c r="AZ3" s="9">
        <f t="shared" si="2"/>
        <v>120</v>
      </c>
      <c r="BA3" s="9">
        <f t="shared" si="3"/>
        <v>96</v>
      </c>
      <c r="BB3" s="4" t="str">
        <f t="shared" ref="BB3:BB43" si="6">", "&amp;SUBSTITUTE(SUBSTITUTE(SUBSTITUTE(SUBSTITUTE(SUBSTITUTE(SUBSTITUTE(RECT,"%i",AV3),"%n",AW3),"%L",AY3),"%T",AX3),"%W",BA3),"%H",AZ3)</f>
        <v>, new Zone { Id = 2, Name = "e", Rect = new Rect { Left = 128, Top = 0, Width = 96, Height = 120 } }</v>
      </c>
      <c r="BD3" s="7" t="str">
        <f t="shared" ref="BD3:BD43" si="7">", "&amp;SUBSTITUTE(SUBSTITUTE(SUBSTITUTE(SUBSTITUTE(SUBSTITUTE(SUBSTITUTE(pyRECT,"%i",AV3),"%n",AW3),"%L",AY3),"%T",AX3),"%W",BA3),"%H",AZ3)</f>
        <v>, Zone(id = 2, name = "e", rect = Rect(left = 128, top = 0, width = 96, height = 120))</v>
      </c>
    </row>
    <row r="4" spans="1:56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2"/>
      <c r="AN4" s="12"/>
      <c r="AO4" s="1" t="s">
        <v>25</v>
      </c>
      <c r="AP4" s="1">
        <v>12566463</v>
      </c>
      <c r="AQ4" s="1">
        <v>0</v>
      </c>
      <c r="AR4" s="1">
        <v>7</v>
      </c>
      <c r="AS4" s="1">
        <v>1</v>
      </c>
      <c r="AT4" s="1">
        <v>33</v>
      </c>
      <c r="AV4" s="6">
        <f t="shared" si="4"/>
        <v>3</v>
      </c>
      <c r="AW4" s="6" t="str">
        <f t="shared" si="5"/>
        <v>e</v>
      </c>
      <c r="AX4" s="9">
        <f t="shared" si="0"/>
        <v>0</v>
      </c>
      <c r="AY4" s="9">
        <f t="shared" si="1"/>
        <v>224</v>
      </c>
      <c r="AZ4" s="9">
        <f t="shared" si="2"/>
        <v>24</v>
      </c>
      <c r="BA4" s="9">
        <f t="shared" si="3"/>
        <v>1056</v>
      </c>
      <c r="BB4" s="4" t="str">
        <f t="shared" si="6"/>
        <v>, new Zone { Id = 3, Name = "e", Rect = new Rect { Left = 224, Top = 0, Width = 1056, Height = 24 } }</v>
      </c>
      <c r="BD4" s="7" t="str">
        <f t="shared" si="7"/>
        <v>, Zone(id = 3, name = "e", rect = Rect(left = 224, top = 0, width = 1056, height = 24))</v>
      </c>
    </row>
    <row r="5" spans="1:56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2"/>
      <c r="AN5" s="12"/>
      <c r="AO5" s="1" t="s">
        <v>21</v>
      </c>
      <c r="AP5" s="1">
        <v>11854022</v>
      </c>
      <c r="AQ5" s="1">
        <v>1</v>
      </c>
      <c r="AR5" s="1">
        <v>7</v>
      </c>
      <c r="AS5" s="1">
        <v>28</v>
      </c>
      <c r="AT5" s="1">
        <v>2</v>
      </c>
      <c r="AV5" s="6">
        <f t="shared" si="4"/>
        <v>4</v>
      </c>
      <c r="AW5" s="6" t="str">
        <f t="shared" si="5"/>
        <v>corridoio 1</v>
      </c>
      <c r="AX5" s="9">
        <f t="shared" si="0"/>
        <v>24</v>
      </c>
      <c r="AY5" s="9">
        <f t="shared" si="1"/>
        <v>224</v>
      </c>
      <c r="AZ5" s="9">
        <f t="shared" si="2"/>
        <v>672</v>
      </c>
      <c r="BA5" s="9">
        <f t="shared" si="3"/>
        <v>64</v>
      </c>
      <c r="BB5" s="4" t="str">
        <f t="shared" si="6"/>
        <v>, new Zone { Id = 4, Name = "corridoio 1", Rect = new Rect { Left = 224, Top = 24, Width = 64, Height = 672 } }</v>
      </c>
      <c r="BD5" s="7" t="str">
        <f t="shared" si="7"/>
        <v>, Zone(id = 4, name = "corridoio 1", rect = Rect(left = 224, top = 24, width = 64, height = 672))</v>
      </c>
    </row>
    <row r="6" spans="1:56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2"/>
      <c r="AN6" s="12"/>
      <c r="AO6" s="1" t="s">
        <v>17</v>
      </c>
      <c r="AP6" s="1">
        <v>8696052</v>
      </c>
      <c r="AQ6" s="1">
        <v>1</v>
      </c>
      <c r="AR6" s="1">
        <v>9</v>
      </c>
      <c r="AS6" s="1">
        <v>2</v>
      </c>
      <c r="AT6" s="1">
        <v>9</v>
      </c>
      <c r="AV6" s="6">
        <f t="shared" si="4"/>
        <v>5</v>
      </c>
      <c r="AW6" s="6" t="str">
        <f t="shared" si="5"/>
        <v>pet</v>
      </c>
      <c r="AX6" s="9">
        <f t="shared" si="0"/>
        <v>24</v>
      </c>
      <c r="AY6" s="9">
        <f t="shared" si="1"/>
        <v>288</v>
      </c>
      <c r="AZ6" s="9">
        <f t="shared" si="2"/>
        <v>48</v>
      </c>
      <c r="BA6" s="9">
        <f t="shared" si="3"/>
        <v>288</v>
      </c>
      <c r="BB6" s="4" t="str">
        <f t="shared" si="6"/>
        <v>, new Zone { Id = 5, Name = "pet", Rect = new Rect { Left = 288, Top = 24, Width = 288, Height = 48 } }</v>
      </c>
      <c r="BD6" s="7" t="str">
        <f t="shared" si="7"/>
        <v>, Zone(id = 5, name = "pet", rect = Rect(left = 288, top = 24, width = 288, height = 48))</v>
      </c>
    </row>
    <row r="7" spans="1:56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2"/>
      <c r="AN7" s="12"/>
      <c r="AO7" s="1" t="s">
        <v>22</v>
      </c>
      <c r="AP7" s="1">
        <v>11854022</v>
      </c>
      <c r="AQ7" s="1">
        <v>1</v>
      </c>
      <c r="AR7" s="1">
        <v>18</v>
      </c>
      <c r="AS7" s="1">
        <v>26</v>
      </c>
      <c r="AT7" s="1">
        <v>2</v>
      </c>
      <c r="AV7" s="6">
        <f t="shared" si="4"/>
        <v>6</v>
      </c>
      <c r="AW7" s="6" t="str">
        <f t="shared" si="5"/>
        <v>corridoio 2</v>
      </c>
      <c r="AX7" s="9">
        <f t="shared" si="0"/>
        <v>24</v>
      </c>
      <c r="AY7" s="9">
        <f t="shared" si="1"/>
        <v>576</v>
      </c>
      <c r="AZ7" s="9">
        <f t="shared" si="2"/>
        <v>624</v>
      </c>
      <c r="BA7" s="9">
        <f t="shared" si="3"/>
        <v>64</v>
      </c>
      <c r="BB7" s="4" t="str">
        <f t="shared" si="6"/>
        <v>, new Zone { Id = 6, Name = "corridoio 2", Rect = new Rect { Left = 576, Top = 24, Width = 64, Height = 624 } }</v>
      </c>
      <c r="BD7" s="7" t="str">
        <f t="shared" si="7"/>
        <v>, Zone(id = 6, name = "corridoio 2", rect = Rect(left = 576, top = 24, width = 64, height = 624))</v>
      </c>
    </row>
    <row r="8" spans="1:56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2"/>
      <c r="AN8" s="12"/>
      <c r="AO8" s="1" t="s">
        <v>16</v>
      </c>
      <c r="AP8" s="1">
        <v>8696052</v>
      </c>
      <c r="AQ8" s="1">
        <v>1</v>
      </c>
      <c r="AR8" s="1">
        <v>20</v>
      </c>
      <c r="AS8" s="1">
        <v>4</v>
      </c>
      <c r="AT8" s="1">
        <v>5</v>
      </c>
      <c r="AV8" s="6">
        <f t="shared" ref="AV8:AV43" si="8">ROW(AO8)-1</f>
        <v>7</v>
      </c>
      <c r="AW8" s="6" t="str">
        <f t="shared" ref="AW8:AW43" si="9">AO8</f>
        <v>snacs</v>
      </c>
      <c r="AX8" s="9">
        <f t="shared" si="0"/>
        <v>24</v>
      </c>
      <c r="AY8" s="9">
        <f t="shared" si="1"/>
        <v>640</v>
      </c>
      <c r="AZ8" s="9">
        <f t="shared" si="2"/>
        <v>96</v>
      </c>
      <c r="BA8" s="9">
        <f t="shared" si="3"/>
        <v>160</v>
      </c>
      <c r="BB8" s="4" t="str">
        <f t="shared" si="6"/>
        <v>, new Zone { Id = 7, Name = "snacs", Rect = new Rect { Left = 640, Top = 24, Width = 160, Height = 96 } }</v>
      </c>
      <c r="BD8" s="7" t="str">
        <f t="shared" si="7"/>
        <v>, Zone(id = 7, name = "snacs", rect = Rect(left = 640, top = 24, width = 160, height = 96))</v>
      </c>
    </row>
    <row r="9" spans="1:56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2"/>
      <c r="AN9" s="12"/>
      <c r="AO9" s="1" t="s">
        <v>23</v>
      </c>
      <c r="AP9" s="1">
        <v>11854022</v>
      </c>
      <c r="AQ9" s="1">
        <v>1</v>
      </c>
      <c r="AR9" s="1">
        <v>25</v>
      </c>
      <c r="AS9" s="1">
        <v>13</v>
      </c>
      <c r="AT9" s="1">
        <v>2</v>
      </c>
      <c r="AV9" s="6">
        <f t="shared" si="8"/>
        <v>8</v>
      </c>
      <c r="AW9" s="6" t="str">
        <f t="shared" si="9"/>
        <v>corridoio3</v>
      </c>
      <c r="AX9" s="9">
        <f t="shared" si="0"/>
        <v>24</v>
      </c>
      <c r="AY9" s="9">
        <f t="shared" si="1"/>
        <v>800</v>
      </c>
      <c r="AZ9" s="9">
        <f t="shared" si="2"/>
        <v>312</v>
      </c>
      <c r="BA9" s="9">
        <f t="shared" si="3"/>
        <v>64</v>
      </c>
      <c r="BB9" s="4" t="str">
        <f t="shared" si="6"/>
        <v>, new Zone { Id = 8, Name = "corridoio3", Rect = new Rect { Left = 800, Top = 24, Width = 64, Height = 312 } }</v>
      </c>
      <c r="BD9" s="7" t="str">
        <f t="shared" si="7"/>
        <v>, Zone(id = 8, name = "corridoio3", rect = Rect(left = 800, top = 24, width = 64, height = 312))</v>
      </c>
    </row>
    <row r="10" spans="1:56" x14ac:dyDescent="0.25">
      <c r="A10" s="12"/>
      <c r="B10" s="12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2"/>
      <c r="AN10" s="12"/>
      <c r="AO10" s="1" t="s">
        <v>15</v>
      </c>
      <c r="AP10" s="1">
        <v>3243501</v>
      </c>
      <c r="AQ10" s="1">
        <v>1</v>
      </c>
      <c r="AR10" s="1">
        <v>27</v>
      </c>
      <c r="AS10" s="1">
        <v>4</v>
      </c>
      <c r="AT10" s="1">
        <v>6</v>
      </c>
      <c r="AV10" s="6">
        <f t="shared" si="8"/>
        <v>9</v>
      </c>
      <c r="AW10" s="6" t="str">
        <f t="shared" si="9"/>
        <v>birre</v>
      </c>
      <c r="AX10" s="9">
        <f t="shared" si="0"/>
        <v>24</v>
      </c>
      <c r="AY10" s="9">
        <f t="shared" si="1"/>
        <v>864</v>
      </c>
      <c r="AZ10" s="9">
        <f t="shared" si="2"/>
        <v>96</v>
      </c>
      <c r="BA10" s="9">
        <f t="shared" si="3"/>
        <v>192</v>
      </c>
      <c r="BB10" s="4" t="str">
        <f t="shared" si="6"/>
        <v>, new Zone { Id = 9, Name = "birre", Rect = new Rect { Left = 864, Top = 24, Width = 192, Height = 96 } }</v>
      </c>
      <c r="BD10" s="7" t="str">
        <f t="shared" si="7"/>
        <v>, Zone(id = 9, name = "birre", rect = Rect(left = 864, top = 24, width = 192, height = 96))</v>
      </c>
    </row>
    <row r="11" spans="1:56" x14ac:dyDescent="0.25">
      <c r="A11" s="12"/>
      <c r="B11" s="12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2"/>
      <c r="AN11" s="12"/>
      <c r="AO11" s="1" t="s">
        <v>14</v>
      </c>
      <c r="AP11" s="1">
        <v>10086143</v>
      </c>
      <c r="AQ11" s="1">
        <v>1</v>
      </c>
      <c r="AR11" s="1">
        <v>33</v>
      </c>
      <c r="AS11" s="1">
        <v>8</v>
      </c>
      <c r="AT11" s="1">
        <v>7</v>
      </c>
      <c r="AV11" s="6">
        <f t="shared" si="8"/>
        <v>10</v>
      </c>
      <c r="AW11" s="6" t="str">
        <f t="shared" si="9"/>
        <v>vini</v>
      </c>
      <c r="AX11" s="9">
        <f t="shared" si="0"/>
        <v>24</v>
      </c>
      <c r="AY11" s="9">
        <f t="shared" si="1"/>
        <v>1056</v>
      </c>
      <c r="AZ11" s="9">
        <f t="shared" si="2"/>
        <v>192</v>
      </c>
      <c r="BA11" s="9">
        <f t="shared" si="3"/>
        <v>224</v>
      </c>
      <c r="BB11" s="4" t="str">
        <f t="shared" si="6"/>
        <v>, new Zone { Id = 10, Name = "vini", Rect = new Rect { Left = 1056, Top = 24, Width = 224, Height = 192 } }</v>
      </c>
      <c r="BD11" s="7" t="str">
        <f t="shared" si="7"/>
        <v>, Zone(id = 10, name = "vini", rect = Rect(left = 1056, top = 24, width = 224, height = 192))</v>
      </c>
    </row>
    <row r="12" spans="1:56" x14ac:dyDescent="0.25">
      <c r="A12" s="12"/>
      <c r="B12" s="12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2"/>
      <c r="AN12" s="12"/>
      <c r="AO12" s="1" t="s">
        <v>25</v>
      </c>
      <c r="AP12" s="1">
        <v>12566463</v>
      </c>
      <c r="AQ12" s="1">
        <v>3</v>
      </c>
      <c r="AR12" s="1">
        <v>9</v>
      </c>
      <c r="AS12" s="1">
        <v>4</v>
      </c>
      <c r="AT12" s="1">
        <v>9</v>
      </c>
      <c r="AV12" s="6">
        <f t="shared" si="8"/>
        <v>11</v>
      </c>
      <c r="AW12" s="6" t="str">
        <f t="shared" si="9"/>
        <v>e</v>
      </c>
      <c r="AX12" s="9">
        <f t="shared" si="0"/>
        <v>72</v>
      </c>
      <c r="AY12" s="9">
        <f t="shared" si="1"/>
        <v>288</v>
      </c>
      <c r="AZ12" s="9">
        <f t="shared" si="2"/>
        <v>96</v>
      </c>
      <c r="BA12" s="9">
        <f t="shared" si="3"/>
        <v>288</v>
      </c>
      <c r="BB12" s="4" t="str">
        <f t="shared" si="6"/>
        <v>, new Zone { Id = 11, Name = "e", Rect = new Rect { Left = 288, Top = 72, Width = 288, Height = 96 } }</v>
      </c>
      <c r="BD12" s="7" t="str">
        <f t="shared" si="7"/>
        <v>, Zone(id = 11, name = "e", rect = Rect(left = 288, top = 72, width = 288, height = 96))</v>
      </c>
    </row>
    <row r="13" spans="1:56" x14ac:dyDescent="0.25">
      <c r="A13" s="12"/>
      <c r="B13" s="12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2"/>
      <c r="AN13" s="12"/>
      <c r="AO13" s="1" t="s">
        <v>1</v>
      </c>
      <c r="AP13" s="1">
        <v>49407</v>
      </c>
      <c r="AQ13" s="1">
        <v>5</v>
      </c>
      <c r="AR13" s="1">
        <v>4</v>
      </c>
      <c r="AS13" s="1">
        <v>12</v>
      </c>
      <c r="AT13" s="1">
        <v>3</v>
      </c>
      <c r="AV13" s="6">
        <f t="shared" si="8"/>
        <v>12</v>
      </c>
      <c r="AW13" s="6" t="str">
        <f t="shared" si="9"/>
        <v>cassa</v>
      </c>
      <c r="AX13" s="9">
        <f t="shared" si="0"/>
        <v>120</v>
      </c>
      <c r="AY13" s="9">
        <f t="shared" si="1"/>
        <v>128</v>
      </c>
      <c r="AZ13" s="9">
        <f t="shared" si="2"/>
        <v>288</v>
      </c>
      <c r="BA13" s="9">
        <f t="shared" si="3"/>
        <v>96</v>
      </c>
      <c r="BB13" s="4" t="str">
        <f t="shared" si="6"/>
        <v>, new Zone { Id = 12, Name = "cassa", Rect = new Rect { Left = 128, Top = 120, Width = 96, Height = 288 } }</v>
      </c>
      <c r="BD13" s="7" t="str">
        <f t="shared" si="7"/>
        <v>, Zone(id = 12, name = "cassa", rect = Rect(left = 128, top = 120, width = 96, height = 288))</v>
      </c>
    </row>
    <row r="14" spans="1:56" x14ac:dyDescent="0.25">
      <c r="A14" s="12"/>
      <c r="B14" s="12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2"/>
      <c r="AN14" s="12"/>
      <c r="AO14" s="1" t="s">
        <v>25</v>
      </c>
      <c r="AP14" s="1">
        <v>12566463</v>
      </c>
      <c r="AQ14" s="1">
        <v>5</v>
      </c>
      <c r="AR14" s="1">
        <v>20</v>
      </c>
      <c r="AS14" s="1">
        <v>2</v>
      </c>
      <c r="AT14" s="1">
        <v>5</v>
      </c>
      <c r="AV14" s="6">
        <f t="shared" si="8"/>
        <v>13</v>
      </c>
      <c r="AW14" s="6" t="str">
        <f t="shared" si="9"/>
        <v>e</v>
      </c>
      <c r="AX14" s="9">
        <f t="shared" si="0"/>
        <v>120</v>
      </c>
      <c r="AY14" s="9">
        <f t="shared" si="1"/>
        <v>640</v>
      </c>
      <c r="AZ14" s="9">
        <f t="shared" si="2"/>
        <v>48</v>
      </c>
      <c r="BA14" s="9">
        <f t="shared" si="3"/>
        <v>160</v>
      </c>
      <c r="BB14" s="4" t="str">
        <f t="shared" si="6"/>
        <v>, new Zone { Id = 13, Name = "e", Rect = new Rect { Left = 640, Top = 120, Width = 160, Height = 48 } }</v>
      </c>
      <c r="BD14" s="7" t="str">
        <f t="shared" si="7"/>
        <v>, Zone(id = 13, name = "e", rect = Rect(left = 640, top = 120, width = 160, height = 48))</v>
      </c>
    </row>
    <row r="15" spans="1:56" x14ac:dyDescent="0.25">
      <c r="A15" s="12"/>
      <c r="B15" s="12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2"/>
      <c r="AN15" s="12"/>
      <c r="AO15" s="1" t="s">
        <v>25</v>
      </c>
      <c r="AP15" s="1">
        <v>12566463</v>
      </c>
      <c r="AQ15" s="1">
        <v>5</v>
      </c>
      <c r="AR15" s="1">
        <v>27</v>
      </c>
      <c r="AS15" s="1">
        <v>2</v>
      </c>
      <c r="AT15" s="1">
        <v>4</v>
      </c>
      <c r="AV15" s="6">
        <f t="shared" si="8"/>
        <v>14</v>
      </c>
      <c r="AW15" s="6" t="str">
        <f t="shared" si="9"/>
        <v>e</v>
      </c>
      <c r="AX15" s="9">
        <f t="shared" si="0"/>
        <v>120</v>
      </c>
      <c r="AY15" s="9">
        <f t="shared" si="1"/>
        <v>864</v>
      </c>
      <c r="AZ15" s="9">
        <f t="shared" si="2"/>
        <v>48</v>
      </c>
      <c r="BA15" s="9">
        <f t="shared" si="3"/>
        <v>128</v>
      </c>
      <c r="BB15" s="4" t="str">
        <f t="shared" si="6"/>
        <v>, new Zone { Id = 14, Name = "e", Rect = new Rect { Left = 864, Top = 120, Width = 128, Height = 48 } }</v>
      </c>
      <c r="BD15" s="7" t="str">
        <f t="shared" si="7"/>
        <v>, Zone(id = 14, name = "e", rect = Rect(left = 864, top = 120, width = 128, height = 48))</v>
      </c>
    </row>
    <row r="16" spans="1:56" x14ac:dyDescent="0.25">
      <c r="A16" s="12"/>
      <c r="B16" s="12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2"/>
      <c r="AN16" s="12"/>
      <c r="AO16" s="1" t="s">
        <v>24</v>
      </c>
      <c r="AP16" s="1">
        <v>11854022</v>
      </c>
      <c r="AQ16" s="1">
        <v>5</v>
      </c>
      <c r="AR16" s="1">
        <v>31</v>
      </c>
      <c r="AS16" s="1">
        <v>24</v>
      </c>
      <c r="AT16" s="1">
        <v>2</v>
      </c>
      <c r="AV16" s="6">
        <f t="shared" si="8"/>
        <v>15</v>
      </c>
      <c r="AW16" s="6" t="str">
        <f t="shared" si="9"/>
        <v>corridoio 4</v>
      </c>
      <c r="AX16" s="9">
        <f t="shared" si="0"/>
        <v>120</v>
      </c>
      <c r="AY16" s="9">
        <f t="shared" si="1"/>
        <v>992</v>
      </c>
      <c r="AZ16" s="9">
        <f t="shared" si="2"/>
        <v>576</v>
      </c>
      <c r="BA16" s="9">
        <f t="shared" si="3"/>
        <v>64</v>
      </c>
      <c r="BB16" s="4" t="str">
        <f t="shared" si="6"/>
        <v>, new Zone { Id = 15, Name = "corridoio 4", Rect = new Rect { Left = 992, Top = 120, Width = 64, Height = 576 } }</v>
      </c>
      <c r="BD16" s="7" t="str">
        <f t="shared" si="7"/>
        <v>, Zone(id = 15, name = "corridoio 4", rect = Rect(left = 992, top = 120, width = 64, height = 576))</v>
      </c>
    </row>
    <row r="17" spans="1:56" x14ac:dyDescent="0.25">
      <c r="A17" s="12"/>
      <c r="B17" s="12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2"/>
      <c r="AN17" s="12"/>
      <c r="AO17" s="1" t="s">
        <v>10</v>
      </c>
      <c r="AP17" s="1">
        <v>14395790</v>
      </c>
      <c r="AQ17" s="1">
        <v>7</v>
      </c>
      <c r="AR17" s="1">
        <v>9</v>
      </c>
      <c r="AS17" s="1">
        <v>2</v>
      </c>
      <c r="AT17" s="1">
        <v>9</v>
      </c>
      <c r="AV17" s="6">
        <f t="shared" si="8"/>
        <v>16</v>
      </c>
      <c r="AW17" s="6" t="str">
        <f t="shared" si="9"/>
        <v>corisa 7</v>
      </c>
      <c r="AX17" s="9">
        <f t="shared" si="0"/>
        <v>168</v>
      </c>
      <c r="AY17" s="9">
        <f t="shared" si="1"/>
        <v>288</v>
      </c>
      <c r="AZ17" s="9">
        <f t="shared" si="2"/>
        <v>48</v>
      </c>
      <c r="BA17" s="9">
        <f t="shared" si="3"/>
        <v>288</v>
      </c>
      <c r="BB17" s="4" t="str">
        <f t="shared" si="6"/>
        <v>, new Zone { Id = 16, Name = "corisa 7", Rect = new Rect { Left = 288, Top = 168, Width = 288, Height = 48 } }</v>
      </c>
      <c r="BD17" s="7" t="str">
        <f t="shared" si="7"/>
        <v>, Zone(id = 16, name = "corisa 7", rect = Rect(left = 288, top = 168, width = 288, height = 48))</v>
      </c>
    </row>
    <row r="18" spans="1:56" x14ac:dyDescent="0.25">
      <c r="A18" s="12"/>
      <c r="B18" s="12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2"/>
      <c r="AN18" s="12"/>
      <c r="AO18" s="1" t="s">
        <v>11</v>
      </c>
      <c r="AP18" s="1">
        <v>14395790</v>
      </c>
      <c r="AQ18" s="1">
        <v>7</v>
      </c>
      <c r="AR18" s="1">
        <v>20</v>
      </c>
      <c r="AS18" s="1">
        <v>2</v>
      </c>
      <c r="AT18" s="1">
        <v>5</v>
      </c>
      <c r="AV18" s="6">
        <f t="shared" si="8"/>
        <v>17</v>
      </c>
      <c r="AW18" s="6" t="str">
        <f t="shared" si="9"/>
        <v>corisa 8</v>
      </c>
      <c r="AX18" s="9">
        <f t="shared" si="0"/>
        <v>168</v>
      </c>
      <c r="AY18" s="9">
        <f t="shared" si="1"/>
        <v>640</v>
      </c>
      <c r="AZ18" s="9">
        <f t="shared" si="2"/>
        <v>48</v>
      </c>
      <c r="BA18" s="9">
        <f t="shared" si="3"/>
        <v>160</v>
      </c>
      <c r="BB18" s="4" t="str">
        <f t="shared" si="6"/>
        <v>, new Zone { Id = 17, Name = "corisa 8", Rect = new Rect { Left = 640, Top = 168, Width = 160, Height = 48 } }</v>
      </c>
      <c r="BD18" s="7" t="str">
        <f t="shared" si="7"/>
        <v>, Zone(id = 17, name = "corisa 8", rect = Rect(left = 640, top = 168, width = 160, height = 48))</v>
      </c>
    </row>
    <row r="19" spans="1:56" x14ac:dyDescent="0.25">
      <c r="A19" s="12"/>
      <c r="B19" s="12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2"/>
      <c r="AN19" s="12"/>
      <c r="AO19" s="1" t="s">
        <v>12</v>
      </c>
      <c r="AP19" s="1">
        <v>14395790</v>
      </c>
      <c r="AQ19" s="1">
        <v>7</v>
      </c>
      <c r="AR19" s="1">
        <v>27</v>
      </c>
      <c r="AS19" s="1">
        <v>2</v>
      </c>
      <c r="AT19" s="1">
        <v>4</v>
      </c>
      <c r="AV19" s="6">
        <f t="shared" si="8"/>
        <v>18</v>
      </c>
      <c r="AW19" s="6" t="str">
        <f t="shared" si="9"/>
        <v>promo 2</v>
      </c>
      <c r="AX19" s="9">
        <f t="shared" si="0"/>
        <v>168</v>
      </c>
      <c r="AY19" s="9">
        <f t="shared" si="1"/>
        <v>864</v>
      </c>
      <c r="AZ19" s="9">
        <f t="shared" si="2"/>
        <v>48</v>
      </c>
      <c r="BA19" s="9">
        <f t="shared" si="3"/>
        <v>128</v>
      </c>
      <c r="BB19" s="4" t="str">
        <f t="shared" si="6"/>
        <v>, new Zone { Id = 18, Name = "promo 2", Rect = new Rect { Left = 864, Top = 168, Width = 128, Height = 48 } }</v>
      </c>
      <c r="BD19" s="7" t="str">
        <f t="shared" si="7"/>
        <v>, Zone(id = 18, name = "promo 2", rect = Rect(left = 864, top = 168, width = 128, height = 48))</v>
      </c>
    </row>
    <row r="20" spans="1:56" x14ac:dyDescent="0.25">
      <c r="A20" s="12"/>
      <c r="B20" s="12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2"/>
      <c r="AN20" s="12"/>
      <c r="AO20" s="1" t="s">
        <v>25</v>
      </c>
      <c r="AP20" s="1">
        <v>12566463</v>
      </c>
      <c r="AQ20" s="1">
        <v>9</v>
      </c>
      <c r="AR20" s="1">
        <v>9</v>
      </c>
      <c r="AS20" s="1">
        <v>3</v>
      </c>
      <c r="AT20" s="1">
        <v>9</v>
      </c>
      <c r="AV20" s="6">
        <f t="shared" si="8"/>
        <v>19</v>
      </c>
      <c r="AW20" s="6" t="str">
        <f t="shared" si="9"/>
        <v>e</v>
      </c>
      <c r="AX20" s="9">
        <f t="shared" si="0"/>
        <v>216</v>
      </c>
      <c r="AY20" s="9">
        <f t="shared" si="1"/>
        <v>288</v>
      </c>
      <c r="AZ20" s="9">
        <f t="shared" si="2"/>
        <v>72</v>
      </c>
      <c r="BA20" s="9">
        <f t="shared" si="3"/>
        <v>288</v>
      </c>
      <c r="BB20" s="4" t="str">
        <f t="shared" si="6"/>
        <v>, new Zone { Id = 19, Name = "e", Rect = new Rect { Left = 288, Top = 216, Width = 288, Height = 72 } }</v>
      </c>
      <c r="BD20" s="7" t="str">
        <f t="shared" si="7"/>
        <v>, Zone(id = 19, name = "e", rect = Rect(left = 288, top = 216, width = 288, height = 72))</v>
      </c>
    </row>
    <row r="21" spans="1:56" x14ac:dyDescent="0.25">
      <c r="A21" s="12"/>
      <c r="B21" s="12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2"/>
      <c r="AN21" s="12"/>
      <c r="AO21" s="1" t="s">
        <v>25</v>
      </c>
      <c r="AP21" s="1">
        <v>12566463</v>
      </c>
      <c r="AQ21" s="1">
        <v>9</v>
      </c>
      <c r="AR21" s="1">
        <v>20</v>
      </c>
      <c r="AS21" s="1">
        <v>3</v>
      </c>
      <c r="AT21" s="1">
        <v>5</v>
      </c>
      <c r="AV21" s="6">
        <f t="shared" si="8"/>
        <v>20</v>
      </c>
      <c r="AW21" s="6" t="str">
        <f t="shared" si="9"/>
        <v>e</v>
      </c>
      <c r="AX21" s="9">
        <f t="shared" si="0"/>
        <v>216</v>
      </c>
      <c r="AY21" s="9">
        <f t="shared" si="1"/>
        <v>640</v>
      </c>
      <c r="AZ21" s="9">
        <f t="shared" si="2"/>
        <v>72</v>
      </c>
      <c r="BA21" s="9">
        <f t="shared" si="3"/>
        <v>160</v>
      </c>
      <c r="BB21" s="4" t="str">
        <f t="shared" si="6"/>
        <v>, new Zone { Id = 20, Name = "e", Rect = new Rect { Left = 640, Top = 216, Width = 160, Height = 72 } }</v>
      </c>
      <c r="BD21" s="7" t="str">
        <f t="shared" si="7"/>
        <v>, Zone(id = 20, name = "e", rect = Rect(left = 640, top = 216, width = 160, height = 72))</v>
      </c>
    </row>
    <row r="22" spans="1:56" x14ac:dyDescent="0.25">
      <c r="A22" s="12"/>
      <c r="B22" s="12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2"/>
      <c r="AN22" s="12"/>
      <c r="AO22" s="1" t="s">
        <v>25</v>
      </c>
      <c r="AP22" s="1">
        <v>12566463</v>
      </c>
      <c r="AQ22" s="1">
        <v>9</v>
      </c>
      <c r="AR22" s="1">
        <v>27</v>
      </c>
      <c r="AS22" s="1">
        <v>3</v>
      </c>
      <c r="AT22" s="1">
        <v>4</v>
      </c>
      <c r="AV22" s="6">
        <f t="shared" si="8"/>
        <v>21</v>
      </c>
      <c r="AW22" s="6" t="str">
        <f t="shared" si="9"/>
        <v>e</v>
      </c>
      <c r="AX22" s="9">
        <f t="shared" si="0"/>
        <v>216</v>
      </c>
      <c r="AY22" s="9">
        <f t="shared" si="1"/>
        <v>864</v>
      </c>
      <c r="AZ22" s="9">
        <f t="shared" si="2"/>
        <v>72</v>
      </c>
      <c r="BA22" s="9">
        <f t="shared" si="3"/>
        <v>128</v>
      </c>
      <c r="BB22" s="4" t="str">
        <f t="shared" si="6"/>
        <v>, new Zone { Id = 21, Name = "e", Rect = new Rect { Left = 864, Top = 216, Width = 128, Height = 72 } }</v>
      </c>
      <c r="BD22" s="7" t="str">
        <f t="shared" si="7"/>
        <v>, Zone(id = 21, name = "e", rect = Rect(left = 864, top = 216, width = 128, height = 72))</v>
      </c>
    </row>
    <row r="23" spans="1:56" x14ac:dyDescent="0.25">
      <c r="A23" s="12"/>
      <c r="B23" s="12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2"/>
      <c r="AN23" s="12"/>
      <c r="AO23" s="1" t="s">
        <v>18</v>
      </c>
      <c r="AP23" s="1">
        <v>49407</v>
      </c>
      <c r="AQ23" s="1">
        <v>9</v>
      </c>
      <c r="AR23" s="1">
        <v>33</v>
      </c>
      <c r="AS23" s="1">
        <v>8</v>
      </c>
      <c r="AT23" s="1">
        <v>7</v>
      </c>
      <c r="AV23" s="6">
        <f t="shared" si="8"/>
        <v>22</v>
      </c>
      <c r="AW23" s="6" t="str">
        <f t="shared" si="9"/>
        <v>servito 1</v>
      </c>
      <c r="AX23" s="9">
        <f t="shared" si="0"/>
        <v>216</v>
      </c>
      <c r="AY23" s="9">
        <f t="shared" si="1"/>
        <v>1056</v>
      </c>
      <c r="AZ23" s="9">
        <f t="shared" si="2"/>
        <v>192</v>
      </c>
      <c r="BA23" s="9">
        <f t="shared" si="3"/>
        <v>224</v>
      </c>
      <c r="BB23" s="4" t="str">
        <f t="shared" si="6"/>
        <v>, new Zone { Id = 22, Name = "servito 1", Rect = new Rect { Left = 1056, Top = 216, Width = 224, Height = 192 } }</v>
      </c>
      <c r="BD23" s="7" t="str">
        <f t="shared" si="7"/>
        <v>, Zone(id = 22, name = "servito 1", rect = Rect(left = 1056, top = 216, width = 224, height = 192))</v>
      </c>
    </row>
    <row r="24" spans="1:56" x14ac:dyDescent="0.25">
      <c r="A24" s="12"/>
      <c r="B24" s="12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2"/>
      <c r="AN24" s="12"/>
      <c r="AO24" s="1" t="s">
        <v>7</v>
      </c>
      <c r="AP24" s="1">
        <v>14395790</v>
      </c>
      <c r="AQ24" s="1">
        <v>12</v>
      </c>
      <c r="AR24" s="1">
        <v>9</v>
      </c>
      <c r="AS24" s="1">
        <v>2</v>
      </c>
      <c r="AT24" s="1">
        <v>9</v>
      </c>
      <c r="AV24" s="6">
        <f t="shared" si="8"/>
        <v>23</v>
      </c>
      <c r="AW24" s="6" t="str">
        <f t="shared" si="9"/>
        <v>corsia 5</v>
      </c>
      <c r="AX24" s="9">
        <f t="shared" si="0"/>
        <v>288</v>
      </c>
      <c r="AY24" s="9">
        <f t="shared" si="1"/>
        <v>288</v>
      </c>
      <c r="AZ24" s="9">
        <f t="shared" si="2"/>
        <v>48</v>
      </c>
      <c r="BA24" s="9">
        <f t="shared" si="3"/>
        <v>288</v>
      </c>
      <c r="BB24" s="4" t="str">
        <f t="shared" si="6"/>
        <v>, new Zone { Id = 23, Name = "corsia 5", Rect = new Rect { Left = 288, Top = 288, Width = 288, Height = 48 } }</v>
      </c>
      <c r="BD24" s="7" t="str">
        <f t="shared" si="7"/>
        <v>, Zone(id = 23, name = "corsia 5", rect = Rect(left = 288, top = 288, width = 288, height = 48))</v>
      </c>
    </row>
    <row r="25" spans="1:56" x14ac:dyDescent="0.25">
      <c r="A25" s="12"/>
      <c r="B25" s="12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2"/>
      <c r="AN25" s="12"/>
      <c r="AO25" s="1" t="s">
        <v>8</v>
      </c>
      <c r="AP25" s="1">
        <v>14395790</v>
      </c>
      <c r="AQ25" s="1">
        <v>12</v>
      </c>
      <c r="AR25" s="1">
        <v>20</v>
      </c>
      <c r="AS25" s="1">
        <v>2</v>
      </c>
      <c r="AT25" s="1">
        <v>5</v>
      </c>
      <c r="AV25" s="6">
        <f t="shared" si="8"/>
        <v>24</v>
      </c>
      <c r="AW25" s="6" t="str">
        <f t="shared" si="9"/>
        <v>corsia 6</v>
      </c>
      <c r="AX25" s="9">
        <f t="shared" si="0"/>
        <v>288</v>
      </c>
      <c r="AY25" s="9">
        <f t="shared" si="1"/>
        <v>640</v>
      </c>
      <c r="AZ25" s="9">
        <f t="shared" si="2"/>
        <v>48</v>
      </c>
      <c r="BA25" s="9">
        <f t="shared" si="3"/>
        <v>160</v>
      </c>
      <c r="BB25" s="4" t="str">
        <f t="shared" si="6"/>
        <v>, new Zone { Id = 24, Name = "corsia 6", Rect = new Rect { Left = 640, Top = 288, Width = 160, Height = 48 } }</v>
      </c>
      <c r="BD25" s="7" t="str">
        <f t="shared" si="7"/>
        <v>, Zone(id = 24, name = "corsia 6", rect = Rect(left = 640, top = 288, width = 160, height = 48))</v>
      </c>
    </row>
    <row r="26" spans="1:56" x14ac:dyDescent="0.25">
      <c r="A26" s="12"/>
      <c r="B26" s="12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2"/>
      <c r="AN26" s="12"/>
      <c r="AO26" s="1" t="s">
        <v>9</v>
      </c>
      <c r="AP26" s="1">
        <v>14395790</v>
      </c>
      <c r="AQ26" s="1">
        <v>12</v>
      </c>
      <c r="AR26" s="1">
        <v>27</v>
      </c>
      <c r="AS26" s="1">
        <v>2</v>
      </c>
      <c r="AT26" s="1">
        <v>4</v>
      </c>
      <c r="AV26" s="6">
        <f t="shared" si="8"/>
        <v>25</v>
      </c>
      <c r="AW26" s="6" t="str">
        <f t="shared" si="9"/>
        <v>promo 1</v>
      </c>
      <c r="AX26" s="9">
        <f t="shared" si="0"/>
        <v>288</v>
      </c>
      <c r="AY26" s="9">
        <f t="shared" si="1"/>
        <v>864</v>
      </c>
      <c r="AZ26" s="9">
        <f t="shared" si="2"/>
        <v>48</v>
      </c>
      <c r="BA26" s="9">
        <f t="shared" si="3"/>
        <v>128</v>
      </c>
      <c r="BB26" s="4" t="str">
        <f t="shared" si="6"/>
        <v>, new Zone { Id = 25, Name = "promo 1", Rect = new Rect { Left = 864, Top = 288, Width = 128, Height = 48 } }</v>
      </c>
      <c r="BD26" s="7" t="str">
        <f t="shared" si="7"/>
        <v>, Zone(id = 25, name = "promo 1", rect = Rect(left = 864, top = 288, width = 128, height = 48))</v>
      </c>
    </row>
    <row r="27" spans="1:56" x14ac:dyDescent="0.25">
      <c r="A27" s="12"/>
      <c r="B27" s="12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2"/>
      <c r="AN27" s="12"/>
      <c r="AO27" s="1" t="s">
        <v>25</v>
      </c>
      <c r="AP27" s="1">
        <v>12566463</v>
      </c>
      <c r="AQ27" s="1">
        <v>14</v>
      </c>
      <c r="AR27" s="1">
        <v>9</v>
      </c>
      <c r="AS27" s="1">
        <v>3</v>
      </c>
      <c r="AT27" s="1">
        <v>9</v>
      </c>
      <c r="AV27" s="6">
        <f t="shared" si="8"/>
        <v>26</v>
      </c>
      <c r="AW27" s="6" t="str">
        <f t="shared" si="9"/>
        <v>e</v>
      </c>
      <c r="AX27" s="9">
        <f t="shared" si="0"/>
        <v>336</v>
      </c>
      <c r="AY27" s="9">
        <f t="shared" si="1"/>
        <v>288</v>
      </c>
      <c r="AZ27" s="9">
        <f t="shared" si="2"/>
        <v>72</v>
      </c>
      <c r="BA27" s="9">
        <f t="shared" si="3"/>
        <v>288</v>
      </c>
      <c r="BB27" s="4" t="str">
        <f t="shared" si="6"/>
        <v>, new Zone { Id = 26, Name = "e", Rect = new Rect { Left = 288, Top = 336, Width = 288, Height = 72 } }</v>
      </c>
      <c r="BD27" s="7" t="str">
        <f t="shared" si="7"/>
        <v>, Zone(id = 26, name = "e", rect = Rect(left = 288, top = 336, width = 288, height = 72))</v>
      </c>
    </row>
    <row r="28" spans="1:56" x14ac:dyDescent="0.25">
      <c r="A28" s="12"/>
      <c r="B28" s="12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2"/>
      <c r="AN28" s="12"/>
      <c r="AO28" s="1" t="s">
        <v>25</v>
      </c>
      <c r="AP28" s="1">
        <v>12566463</v>
      </c>
      <c r="AQ28" s="1">
        <v>14</v>
      </c>
      <c r="AR28" s="1">
        <v>20</v>
      </c>
      <c r="AS28" s="1">
        <v>3</v>
      </c>
      <c r="AT28" s="1">
        <v>11</v>
      </c>
      <c r="AV28" s="6">
        <f t="shared" si="8"/>
        <v>27</v>
      </c>
      <c r="AW28" s="6" t="str">
        <f t="shared" si="9"/>
        <v>e</v>
      </c>
      <c r="AX28" s="9">
        <f t="shared" si="0"/>
        <v>336</v>
      </c>
      <c r="AY28" s="9">
        <f t="shared" si="1"/>
        <v>640</v>
      </c>
      <c r="AZ28" s="9">
        <f t="shared" si="2"/>
        <v>72</v>
      </c>
      <c r="BA28" s="9">
        <f t="shared" si="3"/>
        <v>352</v>
      </c>
      <c r="BB28" s="4" t="str">
        <f t="shared" si="6"/>
        <v>, new Zone { Id = 27, Name = "e", Rect = new Rect { Left = 640, Top = 336, Width = 352, Height = 72 } }</v>
      </c>
      <c r="BD28" s="7" t="str">
        <f t="shared" si="7"/>
        <v>, Zone(id = 27, name = "e", rect = Rect(left = 640, top = 336, width = 352, height = 72))</v>
      </c>
    </row>
    <row r="29" spans="1:56" x14ac:dyDescent="0.25">
      <c r="A29" s="12"/>
      <c r="B29" s="12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2"/>
      <c r="AN29" s="12"/>
      <c r="AO29" s="1" t="s">
        <v>25</v>
      </c>
      <c r="AP29" s="1">
        <v>14277081</v>
      </c>
      <c r="AQ29" s="1">
        <v>17</v>
      </c>
      <c r="AR29" s="1">
        <v>4</v>
      </c>
      <c r="AS29" s="1">
        <v>4</v>
      </c>
      <c r="AT29" s="1">
        <v>3</v>
      </c>
      <c r="AV29" s="6">
        <f t="shared" si="8"/>
        <v>28</v>
      </c>
      <c r="AW29" s="6" t="str">
        <f t="shared" si="9"/>
        <v>e</v>
      </c>
      <c r="AX29" s="9">
        <f t="shared" si="0"/>
        <v>408</v>
      </c>
      <c r="AY29" s="9">
        <f t="shared" si="1"/>
        <v>128</v>
      </c>
      <c r="AZ29" s="9">
        <f t="shared" si="2"/>
        <v>96</v>
      </c>
      <c r="BA29" s="9">
        <f t="shared" si="3"/>
        <v>96</v>
      </c>
      <c r="BB29" s="4" t="str">
        <f t="shared" si="6"/>
        <v>, new Zone { Id = 28, Name = "e", Rect = new Rect { Left = 128, Top = 408, Width = 96, Height = 96 } }</v>
      </c>
      <c r="BD29" s="7" t="str">
        <f t="shared" si="7"/>
        <v>, Zone(id = 28, name = "e", rect = Rect(left = 128, top = 408, width = 96, height = 96))</v>
      </c>
    </row>
    <row r="30" spans="1:56" x14ac:dyDescent="0.25">
      <c r="A30" s="12"/>
      <c r="B30" s="12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2"/>
      <c r="AN30" s="12"/>
      <c r="AO30" s="1" t="s">
        <v>5</v>
      </c>
      <c r="AP30" s="1">
        <v>14395790</v>
      </c>
      <c r="AQ30" s="1">
        <v>17</v>
      </c>
      <c r="AR30" s="1">
        <v>9</v>
      </c>
      <c r="AS30" s="1">
        <v>2</v>
      </c>
      <c r="AT30" s="1">
        <v>9</v>
      </c>
      <c r="AV30" s="6">
        <f t="shared" si="8"/>
        <v>29</v>
      </c>
      <c r="AW30" s="6" t="str">
        <f t="shared" si="9"/>
        <v>corsia 3</v>
      </c>
      <c r="AX30" s="9">
        <f t="shared" si="0"/>
        <v>408</v>
      </c>
      <c r="AY30" s="9">
        <f t="shared" si="1"/>
        <v>288</v>
      </c>
      <c r="AZ30" s="9">
        <f t="shared" si="2"/>
        <v>48</v>
      </c>
      <c r="BA30" s="9">
        <f t="shared" si="3"/>
        <v>288</v>
      </c>
      <c r="BB30" s="4" t="str">
        <f t="shared" si="6"/>
        <v>, new Zone { Id = 29, Name = "corsia 3", Rect = new Rect { Left = 288, Top = 408, Width = 288, Height = 48 } }</v>
      </c>
      <c r="BD30" s="7" t="str">
        <f t="shared" si="7"/>
        <v>, Zone(id = 29, name = "corsia 3", rect = Rect(left = 288, top = 408, width = 288, height = 48))</v>
      </c>
    </row>
    <row r="31" spans="1:56" x14ac:dyDescent="0.25">
      <c r="AO31" s="1" t="s">
        <v>6</v>
      </c>
      <c r="AP31" s="1">
        <v>14395790</v>
      </c>
      <c r="AQ31" s="1">
        <v>17</v>
      </c>
      <c r="AR31" s="1">
        <v>20</v>
      </c>
      <c r="AS31" s="1">
        <v>2</v>
      </c>
      <c r="AT31" s="1">
        <v>11</v>
      </c>
      <c r="AV31" s="6">
        <f t="shared" si="8"/>
        <v>30</v>
      </c>
      <c r="AW31" s="6" t="str">
        <f t="shared" si="9"/>
        <v>corsia 4</v>
      </c>
      <c r="AX31" s="9">
        <f t="shared" si="0"/>
        <v>408</v>
      </c>
      <c r="AY31" s="9">
        <f t="shared" si="1"/>
        <v>640</v>
      </c>
      <c r="AZ31" s="9">
        <f t="shared" si="2"/>
        <v>48</v>
      </c>
      <c r="BA31" s="9">
        <f t="shared" si="3"/>
        <v>352</v>
      </c>
      <c r="BB31" s="4" t="str">
        <f t="shared" si="6"/>
        <v>, new Zone { Id = 30, Name = "corsia 4", Rect = new Rect { Left = 640, Top = 408, Width = 352, Height = 48 } }</v>
      </c>
      <c r="BD31" s="7" t="str">
        <f t="shared" si="7"/>
        <v>, Zone(id = 30, name = "corsia 4", rect = Rect(left = 640, top = 408, width = 352, height = 48))</v>
      </c>
    </row>
    <row r="32" spans="1:56" x14ac:dyDescent="0.25">
      <c r="E32" t="s">
        <v>37</v>
      </c>
      <c r="N32" s="13">
        <v>1280</v>
      </c>
      <c r="O32" s="13"/>
      <c r="P32" s="13">
        <v>720</v>
      </c>
      <c r="Q32" s="13"/>
      <c r="S32">
        <v>40</v>
      </c>
      <c r="T32">
        <v>30</v>
      </c>
      <c r="X32" s="14">
        <f>W/sW</f>
        <v>32</v>
      </c>
      <c r="Y32" s="14"/>
      <c r="AA32" s="14">
        <f>H/sH</f>
        <v>24</v>
      </c>
      <c r="AB32" s="14"/>
      <c r="AO32" s="1" t="s">
        <v>19</v>
      </c>
      <c r="AP32" s="1">
        <v>8696052</v>
      </c>
      <c r="AQ32" s="1">
        <v>17</v>
      </c>
      <c r="AR32" s="1">
        <v>33</v>
      </c>
      <c r="AS32" s="1">
        <v>7</v>
      </c>
      <c r="AT32" s="1">
        <v>7</v>
      </c>
      <c r="AV32" s="6">
        <f t="shared" si="8"/>
        <v>31</v>
      </c>
      <c r="AW32" s="6" t="str">
        <f t="shared" si="9"/>
        <v>servito 2</v>
      </c>
      <c r="AX32" s="9">
        <f t="shared" si="0"/>
        <v>408</v>
      </c>
      <c r="AY32" s="9">
        <f t="shared" si="1"/>
        <v>1056</v>
      </c>
      <c r="AZ32" s="9">
        <f t="shared" si="2"/>
        <v>168</v>
      </c>
      <c r="BA32" s="9">
        <f t="shared" si="3"/>
        <v>224</v>
      </c>
      <c r="BB32" s="4" t="str">
        <f t="shared" si="6"/>
        <v>, new Zone { Id = 31, Name = "servito 2", Rect = new Rect { Left = 1056, Top = 408, Width = 224, Height = 168 } }</v>
      </c>
      <c r="BD32" s="7" t="str">
        <f t="shared" si="7"/>
        <v>, Zone(id = 31, name = "servito 2", rect = Rect(left = 1056, top = 408, width = 224, height = 168))</v>
      </c>
    </row>
    <row r="33" spans="4:56" x14ac:dyDescent="0.25">
      <c r="AO33" s="1" t="s">
        <v>25</v>
      </c>
      <c r="AP33" s="1">
        <v>12566463</v>
      </c>
      <c r="AQ33" s="1">
        <v>19</v>
      </c>
      <c r="AR33" s="1">
        <v>9</v>
      </c>
      <c r="AS33" s="1">
        <v>3</v>
      </c>
      <c r="AT33" s="1">
        <v>9</v>
      </c>
      <c r="AV33" s="6">
        <f t="shared" si="8"/>
        <v>32</v>
      </c>
      <c r="AW33" s="6" t="str">
        <f t="shared" si="9"/>
        <v>e</v>
      </c>
      <c r="AX33" s="9">
        <f t="shared" si="0"/>
        <v>456</v>
      </c>
      <c r="AY33" s="9">
        <f t="shared" si="1"/>
        <v>288</v>
      </c>
      <c r="AZ33" s="9">
        <f t="shared" si="2"/>
        <v>72</v>
      </c>
      <c r="BA33" s="9">
        <f t="shared" si="3"/>
        <v>288</v>
      </c>
      <c r="BB33" s="4" t="str">
        <f t="shared" si="6"/>
        <v>, new Zone { Id = 32, Name = "e", Rect = new Rect { Left = 288, Top = 456, Width = 288, Height = 72 } }</v>
      </c>
      <c r="BD33" s="7" t="str">
        <f t="shared" si="7"/>
        <v>, Zone(id = 32, name = "e", rect = Rect(left = 288, top = 456, width = 288, height = 72))</v>
      </c>
    </row>
    <row r="34" spans="4:56" x14ac:dyDescent="0.25">
      <c r="E34" t="s">
        <v>38</v>
      </c>
      <c r="AO34" s="1" t="s">
        <v>25</v>
      </c>
      <c r="AP34" s="1">
        <v>12566463</v>
      </c>
      <c r="AQ34" s="1">
        <v>19</v>
      </c>
      <c r="AR34" s="1">
        <v>20</v>
      </c>
      <c r="AS34" s="1">
        <v>3</v>
      </c>
      <c r="AT34" s="1">
        <v>11</v>
      </c>
      <c r="AV34" s="6">
        <f t="shared" si="8"/>
        <v>33</v>
      </c>
      <c r="AW34" s="6" t="str">
        <f t="shared" si="9"/>
        <v>e</v>
      </c>
      <c r="AX34" s="9">
        <f t="shared" si="0"/>
        <v>456</v>
      </c>
      <c r="AY34" s="9">
        <f t="shared" si="1"/>
        <v>640</v>
      </c>
      <c r="AZ34" s="9">
        <f t="shared" si="2"/>
        <v>72</v>
      </c>
      <c r="BA34" s="9">
        <f t="shared" si="3"/>
        <v>352</v>
      </c>
      <c r="BB34" s="4" t="str">
        <f t="shared" si="6"/>
        <v>, new Zone { Id = 33, Name = "e", Rect = new Rect { Left = 640, Top = 456, Width = 352, Height = 72 } }</v>
      </c>
      <c r="BD34" s="7" t="str">
        <f t="shared" si="7"/>
        <v>, Zone(id = 33, name = "e", rect = Rect(left = 640, top = 456, width = 352, height = 72))</v>
      </c>
    </row>
    <row r="35" spans="4:56" x14ac:dyDescent="0.25">
      <c r="D35" t="s">
        <v>42</v>
      </c>
      <c r="G35" t="s">
        <v>34</v>
      </c>
      <c r="AO35" s="1" t="s">
        <v>2</v>
      </c>
      <c r="AP35" s="1">
        <v>49407</v>
      </c>
      <c r="AQ35" s="1">
        <v>21</v>
      </c>
      <c r="AR35" s="1">
        <v>4</v>
      </c>
      <c r="AS35" s="1">
        <v>6</v>
      </c>
      <c r="AT35" s="1">
        <v>3</v>
      </c>
      <c r="AV35" s="6">
        <f t="shared" si="8"/>
        <v>34</v>
      </c>
      <c r="AW35" s="6" t="str">
        <f t="shared" si="9"/>
        <v>ingresso</v>
      </c>
      <c r="AX35" s="9">
        <f t="shared" si="0"/>
        <v>504</v>
      </c>
      <c r="AY35" s="9">
        <f t="shared" si="1"/>
        <v>128</v>
      </c>
      <c r="AZ35" s="9">
        <f t="shared" si="2"/>
        <v>144</v>
      </c>
      <c r="BA35" s="9">
        <f t="shared" si="3"/>
        <v>96</v>
      </c>
      <c r="BB35" s="4" t="str">
        <f t="shared" si="6"/>
        <v>, new Zone { Id = 34, Name = "ingresso", Rect = new Rect { Left = 128, Top = 504, Width = 96, Height = 144 } }</v>
      </c>
      <c r="BD35" s="7" t="str">
        <f t="shared" si="7"/>
        <v>, Zone(id = 34, name = "ingresso", rect = Rect(left = 128, top = 504, width = 96, height = 144))</v>
      </c>
    </row>
    <row r="36" spans="4:56" x14ac:dyDescent="0.25">
      <c r="D36" t="s">
        <v>43</v>
      </c>
      <c r="G36" t="s">
        <v>44</v>
      </c>
      <c r="AO36" s="1" t="s">
        <v>3</v>
      </c>
      <c r="AP36" s="1">
        <v>14395790</v>
      </c>
      <c r="AQ36" s="1">
        <v>22</v>
      </c>
      <c r="AR36" s="1">
        <v>9</v>
      </c>
      <c r="AS36" s="1">
        <v>2</v>
      </c>
      <c r="AT36" s="1">
        <v>9</v>
      </c>
      <c r="AV36" s="6">
        <f t="shared" si="8"/>
        <v>35</v>
      </c>
      <c r="AW36" s="6" t="str">
        <f t="shared" si="9"/>
        <v>corsia 1</v>
      </c>
      <c r="AX36" s="9">
        <f t="shared" si="0"/>
        <v>528</v>
      </c>
      <c r="AY36" s="9">
        <f t="shared" si="1"/>
        <v>288</v>
      </c>
      <c r="AZ36" s="9">
        <f t="shared" si="2"/>
        <v>48</v>
      </c>
      <c r="BA36" s="9">
        <f t="shared" si="3"/>
        <v>288</v>
      </c>
      <c r="BB36" s="4" t="str">
        <f t="shared" si="6"/>
        <v>, new Zone { Id = 35, Name = "corsia 1", Rect = new Rect { Left = 288, Top = 528, Width = 288, Height = 48 } }</v>
      </c>
      <c r="BD36" s="7" t="str">
        <f t="shared" si="7"/>
        <v>, Zone(id = 35, name = "corsia 1", rect = Rect(left = 288, top = 528, width = 288, height = 48))</v>
      </c>
    </row>
    <row r="37" spans="4:56" x14ac:dyDescent="0.25">
      <c r="E37" t="s">
        <v>35</v>
      </c>
      <c r="AO37" s="1" t="s">
        <v>4</v>
      </c>
      <c r="AP37" s="1">
        <v>14395790</v>
      </c>
      <c r="AQ37" s="1">
        <v>22</v>
      </c>
      <c r="AR37" s="1">
        <v>20</v>
      </c>
      <c r="AS37" s="1">
        <v>2</v>
      </c>
      <c r="AT37" s="1">
        <v>11</v>
      </c>
      <c r="AV37" s="6">
        <f t="shared" si="8"/>
        <v>36</v>
      </c>
      <c r="AW37" s="6" t="str">
        <f t="shared" si="9"/>
        <v>corsia 2</v>
      </c>
      <c r="AX37" s="9">
        <f t="shared" si="0"/>
        <v>528</v>
      </c>
      <c r="AY37" s="9">
        <f t="shared" si="1"/>
        <v>640</v>
      </c>
      <c r="AZ37" s="9">
        <f t="shared" si="2"/>
        <v>48</v>
      </c>
      <c r="BA37" s="9">
        <f t="shared" si="3"/>
        <v>352</v>
      </c>
      <c r="BB37" s="4" t="str">
        <f t="shared" si="6"/>
        <v>, new Zone { Id = 36, Name = "corsia 2", Rect = new Rect { Left = 640, Top = 528, Width = 352, Height = 48 } }</v>
      </c>
      <c r="BD37" s="7" t="str">
        <f t="shared" si="7"/>
        <v>, Zone(id = 36, name = "corsia 2", rect = Rect(left = 640, top = 528, width = 352, height = 48))</v>
      </c>
    </row>
    <row r="38" spans="4:56" x14ac:dyDescent="0.25">
      <c r="E38" t="s">
        <v>36</v>
      </c>
      <c r="AO38" s="1" t="s">
        <v>25</v>
      </c>
      <c r="AP38" s="1">
        <v>12566463</v>
      </c>
      <c r="AQ38" s="1">
        <v>24</v>
      </c>
      <c r="AR38" s="1">
        <v>9</v>
      </c>
      <c r="AS38" s="1">
        <v>3</v>
      </c>
      <c r="AT38" s="1">
        <v>9</v>
      </c>
      <c r="AV38" s="6">
        <f t="shared" si="8"/>
        <v>37</v>
      </c>
      <c r="AW38" s="6" t="str">
        <f t="shared" si="9"/>
        <v>e</v>
      </c>
      <c r="AX38" s="9">
        <f t="shared" si="0"/>
        <v>576</v>
      </c>
      <c r="AY38" s="9">
        <f t="shared" si="1"/>
        <v>288</v>
      </c>
      <c r="AZ38" s="9">
        <f t="shared" si="2"/>
        <v>72</v>
      </c>
      <c r="BA38" s="9">
        <f t="shared" si="3"/>
        <v>288</v>
      </c>
      <c r="BB38" s="4" t="str">
        <f t="shared" si="6"/>
        <v>, new Zone { Id = 37, Name = "e", Rect = new Rect { Left = 288, Top = 576, Width = 288, Height = 72 } }</v>
      </c>
      <c r="BD38" s="7" t="str">
        <f t="shared" si="7"/>
        <v>, Zone(id = 37, name = "e", rect = Rect(left = 288, top = 576, width = 288, height = 72))</v>
      </c>
    </row>
    <row r="39" spans="4:56" x14ac:dyDescent="0.25">
      <c r="AO39" s="1" t="s">
        <v>25</v>
      </c>
      <c r="AP39" s="1">
        <v>12566463</v>
      </c>
      <c r="AQ39" s="1">
        <v>24</v>
      </c>
      <c r="AR39" s="1">
        <v>20</v>
      </c>
      <c r="AS39" s="1">
        <v>3</v>
      </c>
      <c r="AT39" s="1">
        <v>11</v>
      </c>
      <c r="AV39" s="6">
        <f t="shared" si="8"/>
        <v>38</v>
      </c>
      <c r="AW39" s="6" t="str">
        <f t="shared" si="9"/>
        <v>e</v>
      </c>
      <c r="AX39" s="9">
        <f t="shared" si="0"/>
        <v>576</v>
      </c>
      <c r="AY39" s="9">
        <f t="shared" si="1"/>
        <v>640</v>
      </c>
      <c r="AZ39" s="9">
        <f t="shared" si="2"/>
        <v>72</v>
      </c>
      <c r="BA39" s="9">
        <f t="shared" si="3"/>
        <v>352</v>
      </c>
      <c r="BB39" s="4" t="str">
        <f t="shared" si="6"/>
        <v>, new Zone { Id = 38, Name = "e", Rect = new Rect { Left = 640, Top = 576, Width = 352, Height = 72 } }</v>
      </c>
      <c r="BD39" s="7" t="str">
        <f t="shared" si="7"/>
        <v>, Zone(id = 38, name = "e", rect = Rect(left = 640, top = 576, width = 352, height = 72))</v>
      </c>
    </row>
    <row r="40" spans="4:56" x14ac:dyDescent="0.25">
      <c r="E40" t="s">
        <v>39</v>
      </c>
      <c r="AO40" s="1" t="s">
        <v>20</v>
      </c>
      <c r="AP40" s="1">
        <v>3243501</v>
      </c>
      <c r="AQ40" s="1">
        <v>24</v>
      </c>
      <c r="AR40" s="1">
        <v>33</v>
      </c>
      <c r="AS40" s="1">
        <v>5</v>
      </c>
      <c r="AT40" s="1">
        <v>7</v>
      </c>
      <c r="AV40" s="6">
        <f t="shared" si="8"/>
        <v>39</v>
      </c>
      <c r="AW40" s="6" t="str">
        <f t="shared" si="9"/>
        <v>servito 3</v>
      </c>
      <c r="AX40" s="9">
        <f t="shared" si="0"/>
        <v>576</v>
      </c>
      <c r="AY40" s="9">
        <f t="shared" si="1"/>
        <v>1056</v>
      </c>
      <c r="AZ40" s="9">
        <f t="shared" si="2"/>
        <v>120</v>
      </c>
      <c r="BA40" s="9">
        <f t="shared" si="3"/>
        <v>224</v>
      </c>
      <c r="BB40" s="4" t="str">
        <f t="shared" si="6"/>
        <v>, new Zone { Id = 39, Name = "servito 3", Rect = new Rect { Left = 1056, Top = 576, Width = 224, Height = 120 } }</v>
      </c>
      <c r="BD40" s="7" t="str">
        <f t="shared" si="7"/>
        <v>, Zone(id = 39, name = "servito 3", rect = Rect(left = 1056, top = 576, width = 224, height = 120))</v>
      </c>
    </row>
    <row r="41" spans="4:56" x14ac:dyDescent="0.25">
      <c r="E41" t="s">
        <v>40</v>
      </c>
      <c r="AO41" s="1" t="s">
        <v>25</v>
      </c>
      <c r="AP41" s="1">
        <v>14277081</v>
      </c>
      <c r="AQ41" s="1">
        <v>27</v>
      </c>
      <c r="AR41" s="1">
        <v>4</v>
      </c>
      <c r="AS41" s="1">
        <v>3</v>
      </c>
      <c r="AT41" s="1">
        <v>3</v>
      </c>
      <c r="AV41" s="6">
        <f t="shared" si="8"/>
        <v>40</v>
      </c>
      <c r="AW41" s="6" t="str">
        <f t="shared" si="9"/>
        <v>e</v>
      </c>
      <c r="AX41" s="9">
        <f t="shared" si="0"/>
        <v>648</v>
      </c>
      <c r="AY41" s="9">
        <f t="shared" si="1"/>
        <v>128</v>
      </c>
      <c r="AZ41" s="9">
        <f t="shared" si="2"/>
        <v>72</v>
      </c>
      <c r="BA41" s="9">
        <f t="shared" si="3"/>
        <v>96</v>
      </c>
      <c r="BB41" s="4" t="str">
        <f t="shared" si="6"/>
        <v>, new Zone { Id = 40, Name = "e", Rect = new Rect { Left = 128, Top = 648, Width = 96, Height = 72 } }</v>
      </c>
      <c r="BD41" s="7" t="str">
        <f t="shared" si="7"/>
        <v>, Zone(id = 40, name = "e", rect = Rect(left = 128, top = 648, width = 96, height = 72))</v>
      </c>
    </row>
    <row r="42" spans="4:56" x14ac:dyDescent="0.25">
      <c r="AO42" s="1" t="s">
        <v>13</v>
      </c>
      <c r="AP42" s="1">
        <v>10086143</v>
      </c>
      <c r="AQ42" s="1">
        <v>27</v>
      </c>
      <c r="AR42" s="1">
        <v>9</v>
      </c>
      <c r="AS42" s="1">
        <v>2</v>
      </c>
      <c r="AT42" s="1">
        <v>22</v>
      </c>
      <c r="AV42" s="6">
        <f t="shared" si="8"/>
        <v>41</v>
      </c>
      <c r="AW42" s="6" t="str">
        <f t="shared" si="9"/>
        <v>acque</v>
      </c>
      <c r="AX42" s="9">
        <f t="shared" si="0"/>
        <v>648</v>
      </c>
      <c r="AY42" s="9">
        <f t="shared" si="1"/>
        <v>288</v>
      </c>
      <c r="AZ42" s="9">
        <f t="shared" si="2"/>
        <v>48</v>
      </c>
      <c r="BA42" s="9">
        <f t="shared" si="3"/>
        <v>704</v>
      </c>
      <c r="BB42" s="4" t="str">
        <f t="shared" si="6"/>
        <v>, new Zone { Id = 41, Name = "acque", Rect = new Rect { Left = 288, Top = 648, Width = 704, Height = 48 } }</v>
      </c>
      <c r="BD42" s="7" t="str">
        <f t="shared" si="7"/>
        <v>, Zone(id = 41, name = "acque", rect = Rect(left = 288, top = 648, width = 704, height = 48))</v>
      </c>
    </row>
    <row r="43" spans="4:56" x14ac:dyDescent="0.25">
      <c r="AO43" s="1" t="s">
        <v>25</v>
      </c>
      <c r="AP43" s="1">
        <v>12566463</v>
      </c>
      <c r="AQ43" s="1">
        <v>29</v>
      </c>
      <c r="AR43" s="1">
        <v>7</v>
      </c>
      <c r="AS43" s="1">
        <v>1</v>
      </c>
      <c r="AT43" s="1">
        <v>33</v>
      </c>
      <c r="AV43" s="6">
        <f t="shared" si="8"/>
        <v>42</v>
      </c>
      <c r="AW43" s="6" t="str">
        <f t="shared" si="9"/>
        <v>e</v>
      </c>
      <c r="AX43" s="9">
        <f t="shared" si="0"/>
        <v>696</v>
      </c>
      <c r="AY43" s="9">
        <f t="shared" si="1"/>
        <v>224</v>
      </c>
      <c r="AZ43" s="9">
        <f t="shared" si="2"/>
        <v>24</v>
      </c>
      <c r="BA43" s="9">
        <f t="shared" si="3"/>
        <v>1056</v>
      </c>
      <c r="BB43" s="4" t="str">
        <f t="shared" si="6"/>
        <v>, new Zone { Id = 42, Name = "e", Rect = new Rect { Left = 224, Top = 696, Width = 1056, Height = 24 } }</v>
      </c>
      <c r="BD43" s="7" t="str">
        <f t="shared" si="7"/>
        <v>, Zone(id = 42, name = "e", rect = Rect(left = 224, top = 696, width = 1056, height = 24))</v>
      </c>
    </row>
  </sheetData>
  <mergeCells count="4">
    <mergeCell ref="N32:O32"/>
    <mergeCell ref="P32:Q32"/>
    <mergeCell ref="X32:Y32"/>
    <mergeCell ref="AA32:AB32"/>
  </mergeCell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p.makeRects">
                <anchor moveWithCells="1" sizeWithCells="1">
                  <from>
                    <xdr:col>30</xdr:col>
                    <xdr:colOff>180975</xdr:colOff>
                    <xdr:row>38</xdr:row>
                    <xdr:rowOff>9525</xdr:rowOff>
                  </from>
                  <to>
                    <xdr:col>38</xdr:col>
                    <xdr:colOff>47625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3F3CBC-6D5F-4987-84D5-B8A8DBE9E5D0}">
  <dimension ref="A1:K27"/>
  <sheetViews>
    <sheetView workbookViewId="0">
      <selection activeCell="H5" sqref="H5:K27"/>
    </sheetView>
  </sheetViews>
  <sheetFormatPr defaultRowHeight="15" x14ac:dyDescent="0.25"/>
  <cols>
    <col min="2" max="2" width="19.140625" customWidth="1"/>
  </cols>
  <sheetData>
    <row r="1" spans="1:11" x14ac:dyDescent="0.25">
      <c r="B1" t="s">
        <v>72</v>
      </c>
      <c r="E1">
        <v>1920</v>
      </c>
      <c r="F1">
        <v>1080</v>
      </c>
    </row>
    <row r="3" spans="1:11" x14ac:dyDescent="0.25">
      <c r="A3" s="17" t="s">
        <v>71</v>
      </c>
      <c r="B3" s="17" t="s">
        <v>70</v>
      </c>
      <c r="C3" s="16" t="s">
        <v>69</v>
      </c>
      <c r="D3" s="16" t="s">
        <v>68</v>
      </c>
      <c r="E3" s="16" t="s">
        <v>67</v>
      </c>
      <c r="F3" s="16" t="s">
        <v>66</v>
      </c>
      <c r="H3" s="16" t="s">
        <v>69</v>
      </c>
      <c r="I3" s="16" t="s">
        <v>68</v>
      </c>
      <c r="J3" s="16" t="s">
        <v>67</v>
      </c>
      <c r="K3" s="16" t="s">
        <v>66</v>
      </c>
    </row>
    <row r="4" spans="1:11" x14ac:dyDescent="0.25">
      <c r="A4" s="15">
        <v>1</v>
      </c>
      <c r="B4" t="s">
        <v>65</v>
      </c>
      <c r="C4">
        <v>0</v>
      </c>
      <c r="D4">
        <v>0</v>
      </c>
      <c r="E4">
        <v>539</v>
      </c>
      <c r="F4">
        <v>358</v>
      </c>
      <c r="H4">
        <f>C4*E$1/E$4</f>
        <v>0</v>
      </c>
      <c r="I4">
        <f>D4*F$1/F$4</f>
        <v>0</v>
      </c>
      <c r="J4">
        <f>E4*E$1/E$4</f>
        <v>1920</v>
      </c>
      <c r="K4">
        <f>F4*F$1/F$4</f>
        <v>1080</v>
      </c>
    </row>
    <row r="5" spans="1:11" x14ac:dyDescent="0.25">
      <c r="A5" s="15">
        <f>A4+1</f>
        <v>2</v>
      </c>
      <c r="B5" t="s">
        <v>64</v>
      </c>
      <c r="C5">
        <v>18</v>
      </c>
      <c r="D5">
        <v>18</v>
      </c>
      <c r="E5">
        <v>145</v>
      </c>
      <c r="F5">
        <v>120</v>
      </c>
      <c r="H5">
        <f>C5*E$1/E$4</f>
        <v>64.118738404452685</v>
      </c>
      <c r="I5">
        <f>D5*F$1/F$4</f>
        <v>54.30167597765363</v>
      </c>
      <c r="J5">
        <f>E5*E$1/E$4</f>
        <v>516.51205936920223</v>
      </c>
      <c r="K5">
        <f>F5*F$1/F$4</f>
        <v>362.01117318435752</v>
      </c>
    </row>
    <row r="6" spans="1:11" x14ac:dyDescent="0.25">
      <c r="A6" s="15">
        <f>A5+1</f>
        <v>3</v>
      </c>
      <c r="B6" t="s">
        <v>63</v>
      </c>
      <c r="C6">
        <v>211</v>
      </c>
      <c r="D6">
        <v>139</v>
      </c>
      <c r="E6">
        <v>110</v>
      </c>
      <c r="F6">
        <v>90</v>
      </c>
      <c r="H6">
        <f>C6*E$1/E$4</f>
        <v>751.61410018552874</v>
      </c>
      <c r="I6">
        <f>D6*F$1/F$4</f>
        <v>419.32960893854749</v>
      </c>
      <c r="J6">
        <f>E6*E$1/E$4</f>
        <v>391.83673469387753</v>
      </c>
      <c r="K6">
        <f>F6*F$1/F$4</f>
        <v>271.50837988826817</v>
      </c>
    </row>
    <row r="7" spans="1:11" x14ac:dyDescent="0.25">
      <c r="A7" s="15">
        <f>A6+1</f>
        <v>4</v>
      </c>
      <c r="B7" t="s">
        <v>62</v>
      </c>
      <c r="C7">
        <v>385</v>
      </c>
      <c r="D7">
        <v>138</v>
      </c>
      <c r="E7">
        <v>18</v>
      </c>
      <c r="F7">
        <v>145</v>
      </c>
      <c r="H7">
        <f>C7*E$1/E$4</f>
        <v>1371.4285714285713</v>
      </c>
      <c r="I7">
        <f>D7*F$1/F$4</f>
        <v>416.31284916201116</v>
      </c>
      <c r="J7">
        <f>E7*E$1/E$4</f>
        <v>64.118738404452685</v>
      </c>
      <c r="K7">
        <f>F7*F$1/F$4</f>
        <v>437.43016759776538</v>
      </c>
    </row>
    <row r="8" spans="1:11" x14ac:dyDescent="0.25">
      <c r="A8" s="15">
        <f>A7+1</f>
        <v>5</v>
      </c>
      <c r="B8" t="s">
        <v>61</v>
      </c>
      <c r="C8">
        <v>455</v>
      </c>
      <c r="D8">
        <v>98</v>
      </c>
      <c r="E8">
        <v>18</v>
      </c>
      <c r="F8">
        <v>145</v>
      </c>
      <c r="H8">
        <f>C8*E$1/E$4</f>
        <v>1620.7792207792209</v>
      </c>
      <c r="I8">
        <f>D8*F$1/F$4</f>
        <v>295.64245810055866</v>
      </c>
      <c r="J8">
        <f>E8*E$1/E$4</f>
        <v>64.118738404452685</v>
      </c>
      <c r="K8">
        <f>F8*F$1/F$4</f>
        <v>437.43016759776538</v>
      </c>
    </row>
    <row r="9" spans="1:11" x14ac:dyDescent="0.25">
      <c r="A9" s="15">
        <f>A8+1</f>
        <v>6</v>
      </c>
      <c r="B9" t="s">
        <v>60</v>
      </c>
      <c r="C9">
        <v>0</v>
      </c>
      <c r="D9">
        <v>0</v>
      </c>
      <c r="E9">
        <v>539</v>
      </c>
      <c r="F9">
        <v>18</v>
      </c>
      <c r="H9">
        <f>C9*E$1/E$4</f>
        <v>0</v>
      </c>
      <c r="I9">
        <f>D9*F$1/F$4</f>
        <v>0</v>
      </c>
      <c r="J9">
        <f>E9*E$1/E$4</f>
        <v>1920</v>
      </c>
      <c r="K9">
        <f>F9*F$1/F$4</f>
        <v>54.30167597765363</v>
      </c>
    </row>
    <row r="10" spans="1:11" x14ac:dyDescent="0.25">
      <c r="A10" s="15">
        <f>A9+1</f>
        <v>7</v>
      </c>
      <c r="B10" t="s">
        <v>59</v>
      </c>
      <c r="C10">
        <v>0</v>
      </c>
      <c r="D10">
        <v>0</v>
      </c>
      <c r="E10">
        <v>18</v>
      </c>
      <c r="F10">
        <v>340</v>
      </c>
      <c r="H10">
        <f>C10*E$1/E$4</f>
        <v>0</v>
      </c>
      <c r="I10">
        <f>D10*F$1/F$4</f>
        <v>0</v>
      </c>
      <c r="J10">
        <f>E10*E$1/E$4</f>
        <v>64.118738404452685</v>
      </c>
      <c r="K10">
        <f>F10*F$1/F$4</f>
        <v>1025.6983240223465</v>
      </c>
    </row>
    <row r="11" spans="1:11" x14ac:dyDescent="0.25">
      <c r="A11" s="15">
        <f>A10+1</f>
        <v>8</v>
      </c>
      <c r="B11" t="s">
        <v>58</v>
      </c>
      <c r="C11">
        <v>18</v>
      </c>
      <c r="D11">
        <v>328</v>
      </c>
      <c r="E11">
        <v>502</v>
      </c>
      <c r="F11">
        <v>30</v>
      </c>
      <c r="H11">
        <f>C11*E$1/E$4</f>
        <v>64.118738404452685</v>
      </c>
      <c r="I11">
        <f>D11*F$1/F$4</f>
        <v>989.49720670391059</v>
      </c>
      <c r="J11">
        <f>E11*E$1/E$4</f>
        <v>1788.2003710575138</v>
      </c>
      <c r="K11">
        <f>F11*F$1/F$4</f>
        <v>90.502793296089379</v>
      </c>
    </row>
    <row r="12" spans="1:11" x14ac:dyDescent="0.25">
      <c r="A12" s="15">
        <f>A11+1</f>
        <v>9</v>
      </c>
      <c r="B12" t="s">
        <v>57</v>
      </c>
      <c r="C12">
        <v>520</v>
      </c>
      <c r="D12">
        <v>18</v>
      </c>
      <c r="E12">
        <v>18</v>
      </c>
      <c r="F12">
        <v>340</v>
      </c>
      <c r="H12">
        <f>C12*E$1/E$4</f>
        <v>1852.3191094619667</v>
      </c>
      <c r="I12">
        <f>D12*F$1/F$4</f>
        <v>54.30167597765363</v>
      </c>
      <c r="J12">
        <f>E12*E$1/E$4</f>
        <v>64.118738404452685</v>
      </c>
      <c r="K12">
        <f>F12*F$1/F$4</f>
        <v>1025.6983240223465</v>
      </c>
    </row>
    <row r="13" spans="1:11" x14ac:dyDescent="0.25">
      <c r="A13" s="15">
        <f>A12+1</f>
        <v>10</v>
      </c>
      <c r="B13" t="s">
        <v>56</v>
      </c>
      <c r="C13">
        <v>18</v>
      </c>
      <c r="D13">
        <v>138</v>
      </c>
      <c r="E13">
        <v>195</v>
      </c>
      <c r="F13">
        <v>52</v>
      </c>
      <c r="H13">
        <f>C13*E$1/E$4</f>
        <v>64.118738404452685</v>
      </c>
      <c r="I13">
        <f>D13*F$1/F$4</f>
        <v>416.31284916201116</v>
      </c>
      <c r="J13">
        <f>E13*E$1/E$4</f>
        <v>694.61966604823749</v>
      </c>
      <c r="K13">
        <f>F13*F$1/F$4</f>
        <v>156.87150837988827</v>
      </c>
    </row>
    <row r="14" spans="1:11" x14ac:dyDescent="0.25">
      <c r="A14" s="15">
        <f>A13+1</f>
        <v>11</v>
      </c>
      <c r="B14" t="s">
        <v>55</v>
      </c>
      <c r="C14">
        <v>161</v>
      </c>
      <c r="D14">
        <v>18</v>
      </c>
      <c r="E14">
        <v>51</v>
      </c>
      <c r="F14">
        <v>120</v>
      </c>
      <c r="H14">
        <f>C14*E$1/E$4</f>
        <v>573.50649350649348</v>
      </c>
      <c r="I14">
        <f>D14*F$1/F$4</f>
        <v>54.30167597765363</v>
      </c>
      <c r="J14">
        <f>E14*E$1/E$4</f>
        <v>181.66975881261595</v>
      </c>
      <c r="K14">
        <f>F14*F$1/F$4</f>
        <v>362.01117318435752</v>
      </c>
    </row>
    <row r="15" spans="1:11" x14ac:dyDescent="0.25">
      <c r="A15" s="15">
        <f>A14+1</f>
        <v>12</v>
      </c>
      <c r="B15" t="s">
        <v>54</v>
      </c>
      <c r="C15">
        <v>18</v>
      </c>
      <c r="D15">
        <v>190</v>
      </c>
      <c r="E15">
        <v>83</v>
      </c>
      <c r="F15">
        <v>138</v>
      </c>
      <c r="H15">
        <f>C15*E$1/E$4</f>
        <v>64.118738404452685</v>
      </c>
      <c r="I15">
        <f>D15*F$1/F$4</f>
        <v>573.18435754189943</v>
      </c>
      <c r="J15">
        <f>E15*E$1/E$4</f>
        <v>295.65862708719851</v>
      </c>
      <c r="K15">
        <f>F15*F$1/F$4</f>
        <v>416.31284916201116</v>
      </c>
    </row>
    <row r="16" spans="1:11" x14ac:dyDescent="0.25">
      <c r="A16" s="15">
        <f>A15+1</f>
        <v>13</v>
      </c>
      <c r="B16" t="s">
        <v>53</v>
      </c>
      <c r="C16">
        <v>101</v>
      </c>
      <c r="D16">
        <v>190</v>
      </c>
      <c r="E16">
        <v>110</v>
      </c>
      <c r="F16">
        <v>138</v>
      </c>
      <c r="H16">
        <f>C16*E$1/E$4</f>
        <v>359.77736549165121</v>
      </c>
      <c r="I16">
        <f>D16*F$1/F$4</f>
        <v>573.18435754189943</v>
      </c>
      <c r="J16">
        <f>E16*E$1/E$4</f>
        <v>391.83673469387753</v>
      </c>
      <c r="K16">
        <f>F16*F$1/F$4</f>
        <v>416.31284916201116</v>
      </c>
    </row>
    <row r="17" spans="1:11" x14ac:dyDescent="0.25">
      <c r="A17" s="15">
        <f>A16+1</f>
        <v>14</v>
      </c>
      <c r="B17" t="s">
        <v>14</v>
      </c>
      <c r="C17">
        <v>211</v>
      </c>
      <c r="D17">
        <v>18</v>
      </c>
      <c r="E17">
        <v>308</v>
      </c>
      <c r="F17">
        <v>68</v>
      </c>
      <c r="H17">
        <f>C17*E$1/E$4</f>
        <v>751.61410018552874</v>
      </c>
      <c r="I17">
        <f>D17*F$1/F$4</f>
        <v>54.30167597765363</v>
      </c>
      <c r="J17">
        <f>E17*E$1/E$4</f>
        <v>1097.1428571428571</v>
      </c>
      <c r="K17">
        <f>F17*F$1/F$4</f>
        <v>205.13966480446928</v>
      </c>
    </row>
    <row r="18" spans="1:11" x14ac:dyDescent="0.25">
      <c r="A18" s="15">
        <f>A17+1</f>
        <v>15</v>
      </c>
      <c r="B18" t="s">
        <v>52</v>
      </c>
      <c r="C18">
        <v>211</v>
      </c>
      <c r="D18">
        <v>229</v>
      </c>
      <c r="E18">
        <v>110</v>
      </c>
      <c r="F18">
        <v>53</v>
      </c>
      <c r="H18">
        <f>C18*E$1/E$4</f>
        <v>751.61410018552874</v>
      </c>
      <c r="I18">
        <f>D18*F$1/F$4</f>
        <v>690.8379888268156</v>
      </c>
      <c r="J18">
        <f>E18*E$1/E$4</f>
        <v>391.83673469387753</v>
      </c>
      <c r="K18">
        <f>F18*F$1/F$4</f>
        <v>159.88826815642457</v>
      </c>
    </row>
    <row r="19" spans="1:11" x14ac:dyDescent="0.25">
      <c r="A19" s="15">
        <f>A18+1</f>
        <v>16</v>
      </c>
      <c r="B19" t="s">
        <v>51</v>
      </c>
      <c r="C19">
        <v>211</v>
      </c>
      <c r="D19">
        <v>113</v>
      </c>
      <c r="E19">
        <v>110</v>
      </c>
      <c r="F19">
        <v>25</v>
      </c>
      <c r="H19">
        <f>C19*E$1/E$4</f>
        <v>751.61410018552874</v>
      </c>
      <c r="I19">
        <f>D19*F$1/F$4</f>
        <v>340.89385474860336</v>
      </c>
      <c r="J19">
        <f>E19*E$1/E$4</f>
        <v>391.83673469387753</v>
      </c>
      <c r="K19">
        <f>F19*F$1/F$4</f>
        <v>75.418994413407816</v>
      </c>
    </row>
    <row r="20" spans="1:11" x14ac:dyDescent="0.25">
      <c r="A20" s="15">
        <f>A19+1</f>
        <v>17</v>
      </c>
      <c r="B20" t="s">
        <v>50</v>
      </c>
      <c r="C20">
        <v>211</v>
      </c>
      <c r="D20">
        <v>282</v>
      </c>
      <c r="E20">
        <v>308</v>
      </c>
      <c r="F20">
        <v>46</v>
      </c>
      <c r="H20">
        <f>C20*E$1/E$4</f>
        <v>751.61410018552874</v>
      </c>
      <c r="I20">
        <f>D20*F$1/F$4</f>
        <v>850.72625698324021</v>
      </c>
      <c r="J20">
        <f>E20*E$1/E$4</f>
        <v>1097.1428571428571</v>
      </c>
      <c r="K20">
        <f>F20*F$1/F$4</f>
        <v>138.77094972067039</v>
      </c>
    </row>
    <row r="21" spans="1:11" x14ac:dyDescent="0.25">
      <c r="A21" s="15">
        <f>A20+1</f>
        <v>18</v>
      </c>
      <c r="B21" t="s">
        <v>3</v>
      </c>
      <c r="C21">
        <v>321</v>
      </c>
      <c r="D21">
        <v>86</v>
      </c>
      <c r="E21">
        <v>75</v>
      </c>
      <c r="F21">
        <v>196</v>
      </c>
      <c r="H21">
        <f>C21*E$1/E$4</f>
        <v>1143.4508348794063</v>
      </c>
      <c r="I21">
        <f>D21*F$1/F$4</f>
        <v>259.44134078212289</v>
      </c>
      <c r="J21">
        <f>E21*E$1/E$4</f>
        <v>267.16141001855289</v>
      </c>
      <c r="K21">
        <f>F21*F$1/F$4</f>
        <v>591.28491620111731</v>
      </c>
    </row>
    <row r="22" spans="1:11" x14ac:dyDescent="0.25">
      <c r="A22" s="15">
        <f>A21+1</f>
        <v>19</v>
      </c>
      <c r="B22" t="s">
        <v>4</v>
      </c>
      <c r="C22">
        <v>396</v>
      </c>
      <c r="D22">
        <v>86</v>
      </c>
      <c r="E22">
        <v>67</v>
      </c>
      <c r="F22">
        <v>196</v>
      </c>
      <c r="H22">
        <f>C22*E$1/E$4</f>
        <v>1410.6122448979593</v>
      </c>
      <c r="I22">
        <f>D22*F$1/F$4</f>
        <v>259.44134078212289</v>
      </c>
      <c r="J22">
        <f>E22*E$1/E$4</f>
        <v>238.66419294990723</v>
      </c>
      <c r="K22">
        <f>F22*F$1/F$4</f>
        <v>591.28491620111731</v>
      </c>
    </row>
    <row r="23" spans="1:11" x14ac:dyDescent="0.25">
      <c r="A23" s="15">
        <f>A22+1</f>
        <v>20</v>
      </c>
      <c r="B23" t="s">
        <v>5</v>
      </c>
      <c r="C23">
        <v>464</v>
      </c>
      <c r="D23">
        <v>86</v>
      </c>
      <c r="E23">
        <v>56</v>
      </c>
      <c r="F23">
        <v>196</v>
      </c>
      <c r="H23">
        <f>C23*E$1/E$4</f>
        <v>1652.8385899814471</v>
      </c>
      <c r="I23">
        <f>D23*F$1/F$4</f>
        <v>259.44134078212289</v>
      </c>
      <c r="J23">
        <f>E23*E$1/E$4</f>
        <v>199.48051948051949</v>
      </c>
      <c r="K23">
        <f>F23*F$1/F$4</f>
        <v>591.28491620111731</v>
      </c>
    </row>
    <row r="24" spans="1:11" x14ac:dyDescent="0.25">
      <c r="A24" s="15">
        <f>A23+1</f>
        <v>21</v>
      </c>
      <c r="B24" t="s">
        <v>49</v>
      </c>
      <c r="C24">
        <v>101</v>
      </c>
      <c r="D24">
        <v>328</v>
      </c>
      <c r="E24">
        <v>38</v>
      </c>
      <c r="F24">
        <v>30</v>
      </c>
      <c r="H24">
        <f>C24*E$1/E$4</f>
        <v>359.77736549165121</v>
      </c>
      <c r="I24">
        <f>D24*F$1/F$4</f>
        <v>989.49720670391059</v>
      </c>
      <c r="J24">
        <f>E24*E$1/E$4</f>
        <v>135.36178107606679</v>
      </c>
      <c r="K24">
        <f>F24*F$1/F$4</f>
        <v>90.502793296089379</v>
      </c>
    </row>
    <row r="25" spans="1:11" x14ac:dyDescent="0.25">
      <c r="A25" s="15">
        <f>A24+1</f>
        <v>22</v>
      </c>
      <c r="B25" t="s">
        <v>48</v>
      </c>
      <c r="C25">
        <v>173</v>
      </c>
      <c r="D25">
        <v>328</v>
      </c>
      <c r="E25">
        <v>46</v>
      </c>
      <c r="F25">
        <v>30</v>
      </c>
      <c r="H25">
        <f>C25*E$1/E$4</f>
        <v>616.25231910946195</v>
      </c>
      <c r="I25">
        <f>D25*F$1/F$4</f>
        <v>989.49720670391059</v>
      </c>
      <c r="J25">
        <f>E25*E$1/E$4</f>
        <v>163.85899814471244</v>
      </c>
      <c r="K25">
        <f>F25*F$1/F$4</f>
        <v>90.502793296089379</v>
      </c>
    </row>
    <row r="26" spans="1:11" x14ac:dyDescent="0.25">
      <c r="A26" s="15">
        <f>A25+1</f>
        <v>23</v>
      </c>
      <c r="B26" t="s">
        <v>47</v>
      </c>
      <c r="C26">
        <v>328</v>
      </c>
      <c r="D26">
        <v>328</v>
      </c>
      <c r="E26">
        <v>43</v>
      </c>
      <c r="F26">
        <v>30</v>
      </c>
      <c r="H26">
        <f>C26*E$1/E$4</f>
        <v>1168.3858998144713</v>
      </c>
      <c r="I26">
        <f>D26*F$1/F$4</f>
        <v>989.49720670391059</v>
      </c>
      <c r="J26">
        <f>E26*E$1/E$4</f>
        <v>153.17254174397033</v>
      </c>
      <c r="K26">
        <f>F26*F$1/F$4</f>
        <v>90.502793296089379</v>
      </c>
    </row>
    <row r="27" spans="1:11" x14ac:dyDescent="0.25">
      <c r="A27" s="15">
        <f>A26+1</f>
        <v>24</v>
      </c>
      <c r="B27" t="s">
        <v>46</v>
      </c>
      <c r="C27">
        <v>391</v>
      </c>
      <c r="D27">
        <v>328</v>
      </c>
      <c r="E27">
        <v>43</v>
      </c>
      <c r="F27">
        <v>30</v>
      </c>
      <c r="H27">
        <f>C27*E$1/E$4</f>
        <v>1392.8014842300556</v>
      </c>
      <c r="I27">
        <f>D27*F$1/F$4</f>
        <v>989.49720670391059</v>
      </c>
      <c r="J27">
        <f>E27*E$1/E$4</f>
        <v>153.17254174397033</v>
      </c>
      <c r="K27">
        <f>F27*F$1/F$4</f>
        <v>90.502793296089379</v>
      </c>
    </row>
  </sheetData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</vt:i4>
      </vt:variant>
      <vt:variant>
        <vt:lpstr>Intervalli denominati</vt:lpstr>
      </vt:variant>
      <vt:variant>
        <vt:i4>6</vt:i4>
      </vt:variant>
    </vt:vector>
  </HeadingPairs>
  <TitlesOfParts>
    <vt:vector size="8" baseType="lpstr">
      <vt:lpstr>Mappa</vt:lpstr>
      <vt:lpstr>Foglio1</vt:lpstr>
      <vt:lpstr>H</vt:lpstr>
      <vt:lpstr>pyRECT</vt:lpstr>
      <vt:lpstr>RECT</vt:lpstr>
      <vt:lpstr>sH</vt:lpstr>
      <vt:lpstr>sW</vt:lpstr>
      <vt:lpstr>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Conan</dc:creator>
  <cp:lastModifiedBy>Conan</cp:lastModifiedBy>
  <dcterms:created xsi:type="dcterms:W3CDTF">2019-06-06T16:45:49Z</dcterms:created>
  <dcterms:modified xsi:type="dcterms:W3CDTF">2019-06-21T21:27:34Z</dcterms:modified>
</cp:coreProperties>
</file>