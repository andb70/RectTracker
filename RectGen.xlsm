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andb7\source\repos\RectTracker\"/>
    </mc:Choice>
  </mc:AlternateContent>
  <xr:revisionPtr revIDLastSave="0" documentId="13_ncr:1_{718DB3F0-9F70-4290-891B-23E03CEA5F5B}" xr6:coauthVersionLast="43" xr6:coauthVersionMax="43" xr10:uidLastSave="{00000000-0000-0000-0000-000000000000}"/>
  <bookViews>
    <workbookView xWindow="-120" yWindow="-120" windowWidth="29040" windowHeight="16440" xr2:uid="{B780A16B-7B58-40DA-B550-D1779547CBDD}"/>
  </bookViews>
  <sheets>
    <sheet name="Mappa" sheetId="2" r:id="rId1"/>
  </sheets>
  <definedNames>
    <definedName name="H">Mappa!$P$32</definedName>
    <definedName name="RECT">Mappa!$G$35</definedName>
    <definedName name="sH">Mappa!$T$32</definedName>
    <definedName name="sW">Mappa!$S$32</definedName>
    <definedName name="W">Mappa!$N$32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B4" i="2" l="1"/>
  <c r="BB5" i="2"/>
  <c r="BB6" i="2"/>
  <c r="BB7" i="2"/>
  <c r="BB8" i="2"/>
  <c r="BB9" i="2"/>
  <c r="BB10" i="2"/>
  <c r="BB11" i="2"/>
  <c r="BB12" i="2"/>
  <c r="BB13" i="2"/>
  <c r="BB14" i="2"/>
  <c r="BB15" i="2"/>
  <c r="BB16" i="2"/>
  <c r="BB17" i="2"/>
  <c r="BB18" i="2"/>
  <c r="BB19" i="2"/>
  <c r="BB20" i="2"/>
  <c r="BB21" i="2"/>
  <c r="BB22" i="2"/>
  <c r="BB23" i="2"/>
  <c r="BB24" i="2"/>
  <c r="BB25" i="2"/>
  <c r="BB26" i="2"/>
  <c r="BB27" i="2"/>
  <c r="BB28" i="2"/>
  <c r="BB29" i="2"/>
  <c r="BB30" i="2"/>
  <c r="BB31" i="2"/>
  <c r="BB32" i="2"/>
  <c r="BB33" i="2"/>
  <c r="BB34" i="2"/>
  <c r="BB35" i="2"/>
  <c r="BB36" i="2"/>
  <c r="BB37" i="2"/>
  <c r="BB38" i="2"/>
  <c r="BB39" i="2"/>
  <c r="BB40" i="2"/>
  <c r="BB41" i="2"/>
  <c r="BB42" i="2"/>
  <c r="BB43" i="2"/>
  <c r="BB3" i="2"/>
  <c r="BB2" i="2"/>
  <c r="AX2" i="2"/>
  <c r="AY2" i="2"/>
  <c r="AZ2" i="2"/>
  <c r="BA2" i="2"/>
  <c r="AA32" i="2"/>
  <c r="X32" i="2"/>
  <c r="AV8" i="2"/>
  <c r="AW8" i="2"/>
  <c r="AX8" i="2"/>
  <c r="AY8" i="2"/>
  <c r="AZ8" i="2"/>
  <c r="BA8" i="2"/>
  <c r="AV9" i="2"/>
  <c r="AW9" i="2"/>
  <c r="AX9" i="2"/>
  <c r="AY9" i="2"/>
  <c r="AZ9" i="2"/>
  <c r="BA9" i="2"/>
  <c r="AV10" i="2"/>
  <c r="AW10" i="2"/>
  <c r="AX10" i="2"/>
  <c r="AY10" i="2"/>
  <c r="AZ10" i="2"/>
  <c r="BA10" i="2"/>
  <c r="AV11" i="2"/>
  <c r="AW11" i="2"/>
  <c r="AX11" i="2"/>
  <c r="AY11" i="2"/>
  <c r="AZ11" i="2"/>
  <c r="BA11" i="2"/>
  <c r="AV12" i="2"/>
  <c r="AW12" i="2"/>
  <c r="AX12" i="2"/>
  <c r="AY12" i="2"/>
  <c r="AZ12" i="2"/>
  <c r="BA12" i="2"/>
  <c r="AV13" i="2"/>
  <c r="AW13" i="2"/>
  <c r="AX13" i="2"/>
  <c r="AY13" i="2"/>
  <c r="AZ13" i="2"/>
  <c r="BA13" i="2"/>
  <c r="AV14" i="2"/>
  <c r="AW14" i="2"/>
  <c r="AX14" i="2"/>
  <c r="AY14" i="2"/>
  <c r="AZ14" i="2"/>
  <c r="BA14" i="2"/>
  <c r="AV15" i="2"/>
  <c r="AW15" i="2"/>
  <c r="AX15" i="2"/>
  <c r="AY15" i="2"/>
  <c r="AZ15" i="2"/>
  <c r="BA15" i="2"/>
  <c r="AV16" i="2"/>
  <c r="AW16" i="2"/>
  <c r="AX16" i="2"/>
  <c r="AY16" i="2"/>
  <c r="AZ16" i="2"/>
  <c r="BA16" i="2"/>
  <c r="AV17" i="2"/>
  <c r="AW17" i="2"/>
  <c r="AX17" i="2"/>
  <c r="AY17" i="2"/>
  <c r="AZ17" i="2"/>
  <c r="BA17" i="2"/>
  <c r="AV18" i="2"/>
  <c r="AW18" i="2"/>
  <c r="AX18" i="2"/>
  <c r="AY18" i="2"/>
  <c r="AZ18" i="2"/>
  <c r="BA18" i="2"/>
  <c r="AV19" i="2"/>
  <c r="AW19" i="2"/>
  <c r="AX19" i="2"/>
  <c r="AY19" i="2"/>
  <c r="AZ19" i="2"/>
  <c r="BA19" i="2"/>
  <c r="AV20" i="2"/>
  <c r="AW20" i="2"/>
  <c r="AX20" i="2"/>
  <c r="AY20" i="2"/>
  <c r="AZ20" i="2"/>
  <c r="BA20" i="2"/>
  <c r="AV21" i="2"/>
  <c r="AW21" i="2"/>
  <c r="AX21" i="2"/>
  <c r="AY21" i="2"/>
  <c r="AZ21" i="2"/>
  <c r="BA21" i="2"/>
  <c r="AV22" i="2"/>
  <c r="AW22" i="2"/>
  <c r="AX22" i="2"/>
  <c r="AY22" i="2"/>
  <c r="AZ22" i="2"/>
  <c r="BA22" i="2"/>
  <c r="AV23" i="2"/>
  <c r="AW23" i="2"/>
  <c r="AX23" i="2"/>
  <c r="AY23" i="2"/>
  <c r="AZ23" i="2"/>
  <c r="BA23" i="2"/>
  <c r="AV24" i="2"/>
  <c r="AW24" i="2"/>
  <c r="AX24" i="2"/>
  <c r="AY24" i="2"/>
  <c r="AZ24" i="2"/>
  <c r="BA24" i="2"/>
  <c r="AV25" i="2"/>
  <c r="AW25" i="2"/>
  <c r="AX25" i="2"/>
  <c r="AY25" i="2"/>
  <c r="AZ25" i="2"/>
  <c r="BA25" i="2"/>
  <c r="AV26" i="2"/>
  <c r="AW26" i="2"/>
  <c r="AX26" i="2"/>
  <c r="AY26" i="2"/>
  <c r="AZ26" i="2"/>
  <c r="BA26" i="2"/>
  <c r="AV27" i="2"/>
  <c r="AW27" i="2"/>
  <c r="AX27" i="2"/>
  <c r="AY27" i="2"/>
  <c r="AZ27" i="2"/>
  <c r="BA27" i="2"/>
  <c r="AV28" i="2"/>
  <c r="AW28" i="2"/>
  <c r="AX28" i="2"/>
  <c r="AY28" i="2"/>
  <c r="AZ28" i="2"/>
  <c r="BA28" i="2"/>
  <c r="AV29" i="2"/>
  <c r="AW29" i="2"/>
  <c r="AX29" i="2"/>
  <c r="AY29" i="2"/>
  <c r="AZ29" i="2"/>
  <c r="BA29" i="2"/>
  <c r="AV30" i="2"/>
  <c r="AW30" i="2"/>
  <c r="AX30" i="2"/>
  <c r="AY30" i="2"/>
  <c r="AZ30" i="2"/>
  <c r="BA30" i="2"/>
  <c r="AV31" i="2"/>
  <c r="AW31" i="2"/>
  <c r="AX31" i="2"/>
  <c r="AY31" i="2"/>
  <c r="AZ31" i="2"/>
  <c r="BA31" i="2"/>
  <c r="AV32" i="2"/>
  <c r="AW32" i="2"/>
  <c r="AX32" i="2"/>
  <c r="AY32" i="2"/>
  <c r="AZ32" i="2"/>
  <c r="BA32" i="2"/>
  <c r="AV33" i="2"/>
  <c r="AW33" i="2"/>
  <c r="AX33" i="2"/>
  <c r="AY33" i="2"/>
  <c r="AZ33" i="2"/>
  <c r="BA33" i="2"/>
  <c r="AV34" i="2"/>
  <c r="AW34" i="2"/>
  <c r="AX34" i="2"/>
  <c r="AY34" i="2"/>
  <c r="AZ34" i="2"/>
  <c r="BA34" i="2"/>
  <c r="AV35" i="2"/>
  <c r="AW35" i="2"/>
  <c r="AX35" i="2"/>
  <c r="AY35" i="2"/>
  <c r="AZ35" i="2"/>
  <c r="BA35" i="2"/>
  <c r="AV36" i="2"/>
  <c r="AW36" i="2"/>
  <c r="AX36" i="2"/>
  <c r="AY36" i="2"/>
  <c r="AZ36" i="2"/>
  <c r="BA36" i="2"/>
  <c r="AV37" i="2"/>
  <c r="AW37" i="2"/>
  <c r="AX37" i="2"/>
  <c r="AY37" i="2"/>
  <c r="AZ37" i="2"/>
  <c r="BA37" i="2"/>
  <c r="AV38" i="2"/>
  <c r="AW38" i="2"/>
  <c r="AX38" i="2"/>
  <c r="AY38" i="2"/>
  <c r="AZ38" i="2"/>
  <c r="BA38" i="2"/>
  <c r="AV39" i="2"/>
  <c r="AW39" i="2"/>
  <c r="AX39" i="2"/>
  <c r="AY39" i="2"/>
  <c r="AZ39" i="2"/>
  <c r="BA39" i="2"/>
  <c r="AV40" i="2"/>
  <c r="AW40" i="2"/>
  <c r="AX40" i="2"/>
  <c r="AY40" i="2"/>
  <c r="AZ40" i="2"/>
  <c r="BA40" i="2"/>
  <c r="AV41" i="2"/>
  <c r="AW41" i="2"/>
  <c r="AX41" i="2"/>
  <c r="AY41" i="2"/>
  <c r="AZ41" i="2"/>
  <c r="BA41" i="2"/>
  <c r="AV42" i="2"/>
  <c r="AW42" i="2"/>
  <c r="AX42" i="2"/>
  <c r="AY42" i="2"/>
  <c r="AZ42" i="2"/>
  <c r="BA42" i="2"/>
  <c r="AV43" i="2"/>
  <c r="AW43" i="2"/>
  <c r="AX43" i="2"/>
  <c r="AY43" i="2"/>
  <c r="AZ43" i="2"/>
  <c r="BA43" i="2"/>
  <c r="AZ3" i="2"/>
  <c r="BA3" i="2"/>
  <c r="AZ4" i="2"/>
  <c r="BA4" i="2"/>
  <c r="AZ5" i="2"/>
  <c r="BA5" i="2"/>
  <c r="AZ6" i="2"/>
  <c r="BA6" i="2"/>
  <c r="AZ7" i="2"/>
  <c r="BA7" i="2"/>
  <c r="AV3" i="2"/>
  <c r="AW3" i="2"/>
  <c r="AX3" i="2"/>
  <c r="AY3" i="2"/>
  <c r="AV4" i="2"/>
  <c r="AW4" i="2"/>
  <c r="AX4" i="2"/>
  <c r="AY4" i="2"/>
  <c r="AV5" i="2"/>
  <c r="AW5" i="2"/>
  <c r="AX5" i="2"/>
  <c r="AY5" i="2"/>
  <c r="AV6" i="2"/>
  <c r="AW6" i="2"/>
  <c r="AX6" i="2"/>
  <c r="AY6" i="2"/>
  <c r="AV7" i="2"/>
  <c r="AW7" i="2"/>
  <c r="AX7" i="2"/>
  <c r="AY7" i="2"/>
  <c r="AW2" i="2"/>
  <c r="AV2" i="2"/>
</calcChain>
</file>

<file path=xl/sharedStrings.xml><?xml version="1.0" encoding="utf-8"?>
<sst xmlns="http://schemas.openxmlformats.org/spreadsheetml/2006/main" count="104" uniqueCount="42">
  <si>
    <t>galleria</t>
  </si>
  <si>
    <t>cassa</t>
  </si>
  <si>
    <t>ingresso</t>
  </si>
  <si>
    <t>corsia 1</t>
  </si>
  <si>
    <t>corsia 2</t>
  </si>
  <si>
    <t>corsia 3</t>
  </si>
  <si>
    <t>corsia 4</t>
  </si>
  <si>
    <t>corsia 5</t>
  </si>
  <si>
    <t>corsia 6</t>
  </si>
  <si>
    <t>promo 1</t>
  </si>
  <si>
    <t>corisa 7</t>
  </si>
  <si>
    <t>corisa 8</t>
  </si>
  <si>
    <t>promo 2</t>
  </si>
  <si>
    <t>acque</t>
  </si>
  <si>
    <t>vini</t>
  </si>
  <si>
    <t>birre</t>
  </si>
  <si>
    <t>snacs</t>
  </si>
  <si>
    <t>pet</t>
  </si>
  <si>
    <t>servito 1</t>
  </si>
  <si>
    <t>servito 2</t>
  </si>
  <si>
    <t>servito 3</t>
  </si>
  <si>
    <t>corridoio 1</t>
  </si>
  <si>
    <t>corridoio 2</t>
  </si>
  <si>
    <t>corridoio3</t>
  </si>
  <si>
    <t>corridoio 4</t>
  </si>
  <si>
    <t>e</t>
  </si>
  <si>
    <t>name</t>
  </si>
  <si>
    <t>color</t>
  </si>
  <si>
    <t>top</t>
  </si>
  <si>
    <t>left</t>
  </si>
  <si>
    <t>height</t>
  </si>
  <si>
    <t>width</t>
  </si>
  <si>
    <t>Id</t>
  </si>
  <si>
    <t>Name</t>
  </si>
  <si>
    <t>new Zone { Id = %i, Name = "%n", Rect = new Rect { Left = %L, Top = %T, Width = %W, Height = %H } }</t>
  </si>
  <si>
    <t>Colora dei rettangoli e assegnare un nome alla cella in alto a sinistra di ognuno</t>
  </si>
  <si>
    <t>cancella il contnuto delle colonne AO:AT</t>
  </si>
  <si>
    <t>resolution constraint</t>
  </si>
  <si>
    <t>code pattern</t>
  </si>
  <si>
    <t>Premi "Genera codice"</t>
  </si>
  <si>
    <t>CODE</t>
  </si>
  <si>
    <t>Elimina le celle in più nelle colonne AV:BB o aggiungine (trascinando) se necessario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</si>
</sst>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2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/>
    <xf numFmtId="2" fontId="2" fillId="9" borderId="0" xfId="0" applyNumberFormat="1" applyFont="1" applyFill="1"/>
    <xf numFmtId="0" fontId="3" fillId="0" borderId="0" xfId="0" applyFont="1"/>
    <xf numFmtId="0" fontId="4" fillId="9" borderId="0" xfId="0" applyFont="1" applyFill="1"/>
    <xf numFmtId="2" fontId="4" fillId="9" borderId="0" xfId="0" applyNumberFormat="1" applyFont="1" applyFill="1"/>
    <xf numFmtId="0" fontId="1" fillId="0" borderId="0" xfId="0" applyFont="1"/>
    <xf numFmtId="2" fontId="1" fillId="0" borderId="0" xfId="0" applyNumberFormat="1" applyFon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180975</xdr:colOff>
          <xdr:row>38</xdr:row>
          <xdr:rowOff>9525</xdr:rowOff>
        </xdr:from>
        <xdr:to>
          <xdr:col>38</xdr:col>
          <xdr:colOff>47625</xdr:colOff>
          <xdr:row>41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CC00294-4213-40D7-8C8A-9BB64F040B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codice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C31A1-64AE-42D9-87DA-6F736403EA8E}">
  <sheetPr codeName="Map"/>
  <dimension ref="A1:BB43"/>
  <sheetViews>
    <sheetView tabSelected="1" topLeftCell="U1" workbookViewId="0">
      <selection activeCell="BB43" sqref="BB2:BB43"/>
    </sheetView>
  </sheetViews>
  <sheetFormatPr defaultColWidth="3.140625" defaultRowHeight="15" x14ac:dyDescent="0.25"/>
  <cols>
    <col min="41" max="41" width="10.42578125" bestFit="1" customWidth="1"/>
    <col min="42" max="42" width="9" bestFit="1" customWidth="1"/>
    <col min="43" max="43" width="4" bestFit="1" customWidth="1"/>
    <col min="44" max="44" width="4.140625" bestFit="1" customWidth="1"/>
    <col min="45" max="45" width="6.7109375" bestFit="1" customWidth="1"/>
    <col min="46" max="46" width="6.140625" bestFit="1" customWidth="1"/>
    <col min="48" max="48" width="3" bestFit="1" customWidth="1"/>
    <col min="49" max="49" width="10.42578125" bestFit="1" customWidth="1"/>
    <col min="50" max="53" width="10.42578125" style="10" customWidth="1"/>
    <col min="54" max="54" width="97.42578125" bestFit="1" customWidth="1"/>
  </cols>
  <sheetData>
    <row r="1" spans="1:54" x14ac:dyDescent="0.25">
      <c r="A1" s="1" t="s">
        <v>0</v>
      </c>
      <c r="B1" s="1"/>
      <c r="C1" s="1"/>
      <c r="D1" s="1"/>
      <c r="E1" s="8" t="s">
        <v>25</v>
      </c>
      <c r="F1" s="8"/>
      <c r="G1" s="8"/>
      <c r="H1" s="9" t="s">
        <v>25</v>
      </c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8" t="s">
        <v>26</v>
      </c>
      <c r="AP1" s="8" t="s">
        <v>27</v>
      </c>
      <c r="AQ1" s="8" t="s">
        <v>28</v>
      </c>
      <c r="AR1" s="8" t="s">
        <v>29</v>
      </c>
      <c r="AS1" s="8" t="s">
        <v>30</v>
      </c>
      <c r="AT1" s="8" t="s">
        <v>31</v>
      </c>
      <c r="AV1" s="15" t="s">
        <v>32</v>
      </c>
      <c r="AW1" s="15" t="s">
        <v>33</v>
      </c>
      <c r="AX1" s="16" t="s">
        <v>28</v>
      </c>
      <c r="AY1" s="16" t="s">
        <v>29</v>
      </c>
      <c r="AZ1" s="16" t="s">
        <v>30</v>
      </c>
      <c r="BA1" s="16" t="s">
        <v>31</v>
      </c>
      <c r="BB1" s="13" t="s">
        <v>40</v>
      </c>
    </row>
    <row r="2" spans="1:54" x14ac:dyDescent="0.25">
      <c r="A2" s="1"/>
      <c r="B2" s="1"/>
      <c r="C2" s="1"/>
      <c r="D2" s="1"/>
      <c r="E2" s="8"/>
      <c r="F2" s="8"/>
      <c r="G2" s="8"/>
      <c r="H2" s="6" t="s">
        <v>21</v>
      </c>
      <c r="I2" s="6"/>
      <c r="J2" s="4" t="s">
        <v>17</v>
      </c>
      <c r="K2" s="4"/>
      <c r="L2" s="4"/>
      <c r="M2" s="4"/>
      <c r="N2" s="4"/>
      <c r="O2" s="4"/>
      <c r="P2" s="4"/>
      <c r="Q2" s="4"/>
      <c r="R2" s="4"/>
      <c r="S2" s="6" t="s">
        <v>22</v>
      </c>
      <c r="T2" s="6"/>
      <c r="U2" s="4" t="s">
        <v>16</v>
      </c>
      <c r="V2" s="4"/>
      <c r="W2" s="4"/>
      <c r="X2" s="4"/>
      <c r="Y2" s="4"/>
      <c r="Z2" s="6" t="s">
        <v>23</v>
      </c>
      <c r="AA2" s="6"/>
      <c r="AB2" s="7" t="s">
        <v>15</v>
      </c>
      <c r="AC2" s="7"/>
      <c r="AD2" s="7"/>
      <c r="AE2" s="7"/>
      <c r="AF2" s="7"/>
      <c r="AG2" s="7"/>
      <c r="AH2" s="5" t="s">
        <v>14</v>
      </c>
      <c r="AI2" s="5"/>
      <c r="AJ2" s="5"/>
      <c r="AK2" s="5"/>
      <c r="AL2" s="5"/>
      <c r="AM2" s="5"/>
      <c r="AN2" s="5"/>
      <c r="AO2" s="8" t="s">
        <v>0</v>
      </c>
      <c r="AP2" s="8">
        <v>65535</v>
      </c>
      <c r="AQ2" s="8">
        <v>0</v>
      </c>
      <c r="AR2" s="8">
        <v>0</v>
      </c>
      <c r="AS2" s="8">
        <v>30</v>
      </c>
      <c r="AT2" s="8">
        <v>4</v>
      </c>
      <c r="AV2" s="17">
        <f>ROW(AO2)-1</f>
        <v>1</v>
      </c>
      <c r="AW2" s="17" t="str">
        <f>AO2</f>
        <v>galleria</v>
      </c>
      <c r="AX2" s="18">
        <f>AQ2*H/sH</f>
        <v>0</v>
      </c>
      <c r="AY2" s="18">
        <f>AR2*W/sW</f>
        <v>0</v>
      </c>
      <c r="AZ2" s="18">
        <f>AS2*H/sH</f>
        <v>720</v>
      </c>
      <c r="BA2" s="18">
        <f>AT2*W/sW</f>
        <v>128</v>
      </c>
      <c r="BB2" s="14" t="str">
        <f>SUBSTITUTE(SUBSTITUTE(SUBSTITUTE(SUBSTITUTE(SUBSTITUTE(SUBSTITUTE(RECT,"%i",AV2),"%n",AW2),"%L",AY2),"%T",AX2),"%W",BA2),"%H",AZ2)</f>
        <v>new Zone { Id = 1, Name = "galleria", Rect = new Rect { Left = 0, Top = 0, Width = 128, Height = 720 } }</v>
      </c>
    </row>
    <row r="3" spans="1:54" x14ac:dyDescent="0.25">
      <c r="A3" s="1"/>
      <c r="B3" s="1"/>
      <c r="C3" s="1"/>
      <c r="D3" s="1"/>
      <c r="E3" s="8"/>
      <c r="F3" s="8"/>
      <c r="G3" s="8"/>
      <c r="H3" s="6"/>
      <c r="I3" s="6"/>
      <c r="J3" s="4"/>
      <c r="K3" s="4"/>
      <c r="L3" s="4"/>
      <c r="M3" s="4"/>
      <c r="N3" s="4"/>
      <c r="O3" s="4"/>
      <c r="P3" s="4"/>
      <c r="Q3" s="4"/>
      <c r="R3" s="4"/>
      <c r="S3" s="6"/>
      <c r="T3" s="6"/>
      <c r="U3" s="4"/>
      <c r="V3" s="4"/>
      <c r="W3" s="4"/>
      <c r="X3" s="4"/>
      <c r="Y3" s="4"/>
      <c r="Z3" s="6"/>
      <c r="AA3" s="6"/>
      <c r="AB3" s="7"/>
      <c r="AC3" s="7"/>
      <c r="AD3" s="7"/>
      <c r="AE3" s="7"/>
      <c r="AF3" s="7"/>
      <c r="AG3" s="7"/>
      <c r="AH3" s="5"/>
      <c r="AI3" s="5"/>
      <c r="AJ3" s="5"/>
      <c r="AK3" s="5"/>
      <c r="AL3" s="5"/>
      <c r="AM3" s="5"/>
      <c r="AN3" s="5"/>
      <c r="AO3" s="8" t="s">
        <v>25</v>
      </c>
      <c r="AP3" s="8">
        <v>14277081</v>
      </c>
      <c r="AQ3" s="8">
        <v>0</v>
      </c>
      <c r="AR3" s="8">
        <v>4</v>
      </c>
      <c r="AS3" s="8">
        <v>5</v>
      </c>
      <c r="AT3" s="8">
        <v>3</v>
      </c>
      <c r="AV3" s="17">
        <f t="shared" ref="AV3:AV7" si="0">ROW(AO3)-1</f>
        <v>2</v>
      </c>
      <c r="AW3" s="17" t="str">
        <f t="shared" ref="AW3:AW7" si="1">AO3</f>
        <v>e</v>
      </c>
      <c r="AX3" s="18">
        <f>AQ3*H/sH</f>
        <v>0</v>
      </c>
      <c r="AY3" s="18">
        <f>AR3*W/sW</f>
        <v>128</v>
      </c>
      <c r="AZ3" s="18">
        <f>AS3*H/sH</f>
        <v>120</v>
      </c>
      <c r="BA3" s="18">
        <f>AT3*W/sW</f>
        <v>96</v>
      </c>
      <c r="BB3" s="14" t="str">
        <f>", "&amp;SUBSTITUTE(SUBSTITUTE(SUBSTITUTE(SUBSTITUTE(SUBSTITUTE(SUBSTITUTE(RECT,"%i",AV3),"%n",AW3),"%L",AY3),"%T",AX3),"%W",BA3),"%H",AZ3)</f>
        <v>, new Zone { Id = 2, Name = "e", Rect = new Rect { Left = 128, Top = 0, Width = 96, Height = 120 } }</v>
      </c>
    </row>
    <row r="4" spans="1:54" x14ac:dyDescent="0.25">
      <c r="A4" s="1"/>
      <c r="B4" s="1"/>
      <c r="C4" s="1"/>
      <c r="D4" s="1"/>
      <c r="E4" s="8"/>
      <c r="F4" s="8"/>
      <c r="G4" s="8"/>
      <c r="H4" s="6"/>
      <c r="I4" s="6"/>
      <c r="J4" s="9" t="s">
        <v>25</v>
      </c>
      <c r="K4" s="9"/>
      <c r="L4" s="9"/>
      <c r="M4" s="9"/>
      <c r="N4" s="9"/>
      <c r="O4" s="9"/>
      <c r="P4" s="9"/>
      <c r="Q4" s="9"/>
      <c r="R4" s="9"/>
      <c r="S4" s="6"/>
      <c r="T4" s="6"/>
      <c r="U4" s="4"/>
      <c r="V4" s="4"/>
      <c r="W4" s="4"/>
      <c r="X4" s="4"/>
      <c r="Y4" s="4"/>
      <c r="Z4" s="6"/>
      <c r="AA4" s="6"/>
      <c r="AB4" s="7"/>
      <c r="AC4" s="7"/>
      <c r="AD4" s="7"/>
      <c r="AE4" s="7"/>
      <c r="AF4" s="7"/>
      <c r="AG4" s="7"/>
      <c r="AH4" s="5"/>
      <c r="AI4" s="5"/>
      <c r="AJ4" s="5"/>
      <c r="AK4" s="5"/>
      <c r="AL4" s="5"/>
      <c r="AM4" s="5"/>
      <c r="AN4" s="5"/>
      <c r="AO4" s="8" t="s">
        <v>25</v>
      </c>
      <c r="AP4" s="8">
        <v>12566463</v>
      </c>
      <c r="AQ4" s="8">
        <v>0</v>
      </c>
      <c r="AR4" s="8">
        <v>7</v>
      </c>
      <c r="AS4" s="8">
        <v>1</v>
      </c>
      <c r="AT4" s="8">
        <v>33</v>
      </c>
      <c r="AV4" s="17">
        <f t="shared" si="0"/>
        <v>3</v>
      </c>
      <c r="AW4" s="17" t="str">
        <f t="shared" si="1"/>
        <v>e</v>
      </c>
      <c r="AX4" s="18">
        <f>AQ4*H/sH</f>
        <v>0</v>
      </c>
      <c r="AY4" s="18">
        <f>AR4*W/sW</f>
        <v>224</v>
      </c>
      <c r="AZ4" s="18">
        <f>AS4*H/sH</f>
        <v>24</v>
      </c>
      <c r="BA4" s="18">
        <f>AT4*W/sW</f>
        <v>1056</v>
      </c>
      <c r="BB4" s="14" t="str">
        <f>", "&amp;SUBSTITUTE(SUBSTITUTE(SUBSTITUTE(SUBSTITUTE(SUBSTITUTE(SUBSTITUTE(RECT,"%i",AV4),"%n",AW4),"%L",AY4),"%T",AX4),"%W",BA4),"%H",AZ4)</f>
        <v>, new Zone { Id = 3, Name = "e", Rect = new Rect { Left = 224, Top = 0, Width = 1056, Height = 24 } }</v>
      </c>
    </row>
    <row r="5" spans="1:54" x14ac:dyDescent="0.25">
      <c r="A5" s="1"/>
      <c r="B5" s="1"/>
      <c r="C5" s="1"/>
      <c r="D5" s="1"/>
      <c r="E5" s="8"/>
      <c r="F5" s="8"/>
      <c r="G5" s="8"/>
      <c r="H5" s="6"/>
      <c r="I5" s="6"/>
      <c r="J5" s="9"/>
      <c r="K5" s="9"/>
      <c r="L5" s="9"/>
      <c r="M5" s="9"/>
      <c r="N5" s="9"/>
      <c r="O5" s="9"/>
      <c r="P5" s="9"/>
      <c r="Q5" s="9"/>
      <c r="R5" s="9"/>
      <c r="S5" s="6"/>
      <c r="T5" s="6"/>
      <c r="U5" s="4"/>
      <c r="V5" s="4"/>
      <c r="W5" s="4"/>
      <c r="X5" s="4"/>
      <c r="Y5" s="4"/>
      <c r="Z5" s="6"/>
      <c r="AA5" s="6"/>
      <c r="AB5" s="7"/>
      <c r="AC5" s="7"/>
      <c r="AD5" s="7"/>
      <c r="AE5" s="7"/>
      <c r="AF5" s="7"/>
      <c r="AG5" s="7"/>
      <c r="AH5" s="5"/>
      <c r="AI5" s="5"/>
      <c r="AJ5" s="5"/>
      <c r="AK5" s="5"/>
      <c r="AL5" s="5"/>
      <c r="AM5" s="5"/>
      <c r="AN5" s="5"/>
      <c r="AO5" s="8" t="s">
        <v>21</v>
      </c>
      <c r="AP5" s="8">
        <v>11854022</v>
      </c>
      <c r="AQ5" s="8">
        <v>1</v>
      </c>
      <c r="AR5" s="8">
        <v>7</v>
      </c>
      <c r="AS5" s="8">
        <v>28</v>
      </c>
      <c r="AT5" s="8">
        <v>2</v>
      </c>
      <c r="AV5" s="17">
        <f t="shared" si="0"/>
        <v>4</v>
      </c>
      <c r="AW5" s="17" t="str">
        <f t="shared" si="1"/>
        <v>corridoio 1</v>
      </c>
      <c r="AX5" s="18">
        <f>AQ5*H/sH</f>
        <v>24</v>
      </c>
      <c r="AY5" s="18">
        <f>AR5*W/sW</f>
        <v>224</v>
      </c>
      <c r="AZ5" s="18">
        <f>AS5*H/sH</f>
        <v>672</v>
      </c>
      <c r="BA5" s="18">
        <f>AT5*W/sW</f>
        <v>64</v>
      </c>
      <c r="BB5" s="14" t="str">
        <f>", "&amp;SUBSTITUTE(SUBSTITUTE(SUBSTITUTE(SUBSTITUTE(SUBSTITUTE(SUBSTITUTE(RECT,"%i",AV5),"%n",AW5),"%L",AY5),"%T",AX5),"%W",BA5),"%H",AZ5)</f>
        <v>, new Zone { Id = 4, Name = "corridoio 1", Rect = new Rect { Left = 224, Top = 24, Width = 64, Height = 672 } }</v>
      </c>
    </row>
    <row r="6" spans="1:54" x14ac:dyDescent="0.25">
      <c r="A6" s="1"/>
      <c r="B6" s="1"/>
      <c r="C6" s="1"/>
      <c r="D6" s="1"/>
      <c r="E6" s="2" t="s">
        <v>1</v>
      </c>
      <c r="F6" s="2"/>
      <c r="G6" s="2"/>
      <c r="H6" s="6"/>
      <c r="I6" s="6"/>
      <c r="J6" s="9"/>
      <c r="K6" s="9"/>
      <c r="L6" s="9"/>
      <c r="M6" s="9"/>
      <c r="N6" s="9"/>
      <c r="O6" s="9"/>
      <c r="P6" s="9"/>
      <c r="Q6" s="9"/>
      <c r="R6" s="9"/>
      <c r="S6" s="6"/>
      <c r="T6" s="6"/>
      <c r="U6" s="9" t="s">
        <v>25</v>
      </c>
      <c r="V6" s="9"/>
      <c r="W6" s="9"/>
      <c r="X6" s="9"/>
      <c r="Y6" s="9"/>
      <c r="Z6" s="6"/>
      <c r="AA6" s="6"/>
      <c r="AB6" s="9" t="s">
        <v>25</v>
      </c>
      <c r="AC6" s="9"/>
      <c r="AD6" s="9"/>
      <c r="AE6" s="9"/>
      <c r="AF6" s="6" t="s">
        <v>24</v>
      </c>
      <c r="AG6" s="6"/>
      <c r="AH6" s="5"/>
      <c r="AI6" s="5"/>
      <c r="AJ6" s="5"/>
      <c r="AK6" s="5"/>
      <c r="AL6" s="5"/>
      <c r="AM6" s="5"/>
      <c r="AN6" s="5"/>
      <c r="AO6" s="8" t="s">
        <v>17</v>
      </c>
      <c r="AP6" s="8">
        <v>8696052</v>
      </c>
      <c r="AQ6" s="8">
        <v>1</v>
      </c>
      <c r="AR6" s="8">
        <v>9</v>
      </c>
      <c r="AS6" s="8">
        <v>2</v>
      </c>
      <c r="AT6" s="8">
        <v>9</v>
      </c>
      <c r="AV6" s="17">
        <f t="shared" si="0"/>
        <v>5</v>
      </c>
      <c r="AW6" s="17" t="str">
        <f t="shared" si="1"/>
        <v>pet</v>
      </c>
      <c r="AX6" s="18">
        <f>AQ6*H/sH</f>
        <v>24</v>
      </c>
      <c r="AY6" s="18">
        <f>AR6*W/sW</f>
        <v>288</v>
      </c>
      <c r="AZ6" s="18">
        <f>AS6*H/sH</f>
        <v>48</v>
      </c>
      <c r="BA6" s="18">
        <f>AT6*W/sW</f>
        <v>288</v>
      </c>
      <c r="BB6" s="14" t="str">
        <f>", "&amp;SUBSTITUTE(SUBSTITUTE(SUBSTITUTE(SUBSTITUTE(SUBSTITUTE(SUBSTITUTE(RECT,"%i",AV6),"%n",AW6),"%L",AY6),"%T",AX6),"%W",BA6),"%H",AZ6)</f>
        <v>, new Zone { Id = 5, Name = "pet", Rect = new Rect { Left = 288, Top = 24, Width = 288, Height = 48 } }</v>
      </c>
    </row>
    <row r="7" spans="1:54" x14ac:dyDescent="0.25">
      <c r="A7" s="1"/>
      <c r="B7" s="1"/>
      <c r="C7" s="1"/>
      <c r="D7" s="1"/>
      <c r="E7" s="2"/>
      <c r="F7" s="2"/>
      <c r="G7" s="2"/>
      <c r="H7" s="6"/>
      <c r="I7" s="6"/>
      <c r="J7" s="9"/>
      <c r="K7" s="9"/>
      <c r="L7" s="9"/>
      <c r="M7" s="9"/>
      <c r="N7" s="9"/>
      <c r="O7" s="9"/>
      <c r="P7" s="9"/>
      <c r="Q7" s="9"/>
      <c r="R7" s="9"/>
      <c r="S7" s="6"/>
      <c r="T7" s="6"/>
      <c r="U7" s="9"/>
      <c r="V7" s="9"/>
      <c r="W7" s="9"/>
      <c r="X7" s="9"/>
      <c r="Y7" s="9"/>
      <c r="Z7" s="6"/>
      <c r="AA7" s="6"/>
      <c r="AB7" s="9"/>
      <c r="AC7" s="9"/>
      <c r="AD7" s="9"/>
      <c r="AE7" s="9"/>
      <c r="AF7" s="6"/>
      <c r="AG7" s="6"/>
      <c r="AH7" s="5"/>
      <c r="AI7" s="5"/>
      <c r="AJ7" s="5"/>
      <c r="AK7" s="5"/>
      <c r="AL7" s="5"/>
      <c r="AM7" s="5"/>
      <c r="AN7" s="5"/>
      <c r="AO7" s="8" t="s">
        <v>22</v>
      </c>
      <c r="AP7" s="8">
        <v>11854022</v>
      </c>
      <c r="AQ7" s="8">
        <v>1</v>
      </c>
      <c r="AR7" s="8">
        <v>18</v>
      </c>
      <c r="AS7" s="8">
        <v>26</v>
      </c>
      <c r="AT7" s="8">
        <v>2</v>
      </c>
      <c r="AV7" s="17">
        <f t="shared" si="0"/>
        <v>6</v>
      </c>
      <c r="AW7" s="17" t="str">
        <f t="shared" si="1"/>
        <v>corridoio 2</v>
      </c>
      <c r="AX7" s="18">
        <f>AQ7*H/sH</f>
        <v>24</v>
      </c>
      <c r="AY7" s="18">
        <f>AR7*W/sW</f>
        <v>576</v>
      </c>
      <c r="AZ7" s="18">
        <f>AS7*H/sH</f>
        <v>624</v>
      </c>
      <c r="BA7" s="18">
        <f>AT7*W/sW</f>
        <v>64</v>
      </c>
      <c r="BB7" s="14" t="str">
        <f>", "&amp;SUBSTITUTE(SUBSTITUTE(SUBSTITUTE(SUBSTITUTE(SUBSTITUTE(SUBSTITUTE(RECT,"%i",AV7),"%n",AW7),"%L",AY7),"%T",AX7),"%W",BA7),"%H",AZ7)</f>
        <v>, new Zone { Id = 6, Name = "corridoio 2", Rect = new Rect { Left = 576, Top = 24, Width = 64, Height = 624 } }</v>
      </c>
    </row>
    <row r="8" spans="1:54" x14ac:dyDescent="0.25">
      <c r="A8" s="1"/>
      <c r="B8" s="1"/>
      <c r="C8" s="1"/>
      <c r="D8" s="1"/>
      <c r="E8" s="2"/>
      <c r="F8" s="2"/>
      <c r="G8" s="2"/>
      <c r="H8" s="6"/>
      <c r="I8" s="6"/>
      <c r="J8" s="3" t="s">
        <v>10</v>
      </c>
      <c r="K8" s="3"/>
      <c r="L8" s="3"/>
      <c r="M8" s="3"/>
      <c r="N8" s="3"/>
      <c r="O8" s="3"/>
      <c r="P8" s="3"/>
      <c r="Q8" s="3"/>
      <c r="R8" s="3"/>
      <c r="S8" s="6"/>
      <c r="T8" s="6"/>
      <c r="U8" s="3" t="s">
        <v>11</v>
      </c>
      <c r="V8" s="3"/>
      <c r="W8" s="3"/>
      <c r="X8" s="3"/>
      <c r="Y8" s="3"/>
      <c r="Z8" s="6"/>
      <c r="AA8" s="6"/>
      <c r="AB8" s="3" t="s">
        <v>12</v>
      </c>
      <c r="AC8" s="3"/>
      <c r="AD8" s="3"/>
      <c r="AE8" s="3"/>
      <c r="AF8" s="6"/>
      <c r="AG8" s="6"/>
      <c r="AH8" s="5"/>
      <c r="AI8" s="5"/>
      <c r="AJ8" s="5"/>
      <c r="AK8" s="5"/>
      <c r="AL8" s="5"/>
      <c r="AM8" s="5"/>
      <c r="AN8" s="5"/>
      <c r="AO8" s="8" t="s">
        <v>16</v>
      </c>
      <c r="AP8" s="8">
        <v>8696052</v>
      </c>
      <c r="AQ8" s="8">
        <v>1</v>
      </c>
      <c r="AR8" s="8">
        <v>20</v>
      </c>
      <c r="AS8" s="8">
        <v>4</v>
      </c>
      <c r="AT8" s="8">
        <v>5</v>
      </c>
      <c r="AV8" s="17">
        <f t="shared" ref="AV8:AV43" si="2">ROW(AO8)-1</f>
        <v>7</v>
      </c>
      <c r="AW8" s="17" t="str">
        <f t="shared" ref="AW8:AW43" si="3">AO8</f>
        <v>snacs</v>
      </c>
      <c r="AX8" s="18">
        <f>AQ8*H/sH</f>
        <v>24</v>
      </c>
      <c r="AY8" s="18">
        <f>AR8*W/sW</f>
        <v>640</v>
      </c>
      <c r="AZ8" s="18">
        <f>AS8*H/sH</f>
        <v>96</v>
      </c>
      <c r="BA8" s="18">
        <f>AT8*W/sW</f>
        <v>160</v>
      </c>
      <c r="BB8" s="14" t="str">
        <f>", "&amp;SUBSTITUTE(SUBSTITUTE(SUBSTITUTE(SUBSTITUTE(SUBSTITUTE(SUBSTITUTE(RECT,"%i",AV8),"%n",AW8),"%L",AY8),"%T",AX8),"%W",BA8),"%H",AZ8)</f>
        <v>, new Zone { Id = 7, Name = "snacs", Rect = new Rect { Left = 640, Top = 24, Width = 160, Height = 96 } }</v>
      </c>
    </row>
    <row r="9" spans="1:54" x14ac:dyDescent="0.25">
      <c r="A9" s="1"/>
      <c r="B9" s="1"/>
      <c r="C9" s="1"/>
      <c r="D9" s="1"/>
      <c r="E9" s="2"/>
      <c r="F9" s="2"/>
      <c r="G9" s="2"/>
      <c r="H9" s="6"/>
      <c r="I9" s="6"/>
      <c r="J9" s="3"/>
      <c r="K9" s="3"/>
      <c r="L9" s="3"/>
      <c r="M9" s="3"/>
      <c r="N9" s="3"/>
      <c r="O9" s="3"/>
      <c r="P9" s="3"/>
      <c r="Q9" s="3"/>
      <c r="R9" s="3"/>
      <c r="S9" s="6"/>
      <c r="T9" s="6"/>
      <c r="U9" s="3"/>
      <c r="V9" s="3"/>
      <c r="W9" s="3"/>
      <c r="X9" s="3"/>
      <c r="Y9" s="3"/>
      <c r="Z9" s="6"/>
      <c r="AA9" s="6"/>
      <c r="AB9" s="3"/>
      <c r="AC9" s="3"/>
      <c r="AD9" s="3"/>
      <c r="AE9" s="3"/>
      <c r="AF9" s="6"/>
      <c r="AG9" s="6"/>
      <c r="AH9" s="5"/>
      <c r="AI9" s="5"/>
      <c r="AJ9" s="5"/>
      <c r="AK9" s="5"/>
      <c r="AL9" s="5"/>
      <c r="AM9" s="5"/>
      <c r="AN9" s="5"/>
      <c r="AO9" s="8" t="s">
        <v>23</v>
      </c>
      <c r="AP9" s="8">
        <v>11854022</v>
      </c>
      <c r="AQ9" s="8">
        <v>1</v>
      </c>
      <c r="AR9" s="8">
        <v>25</v>
      </c>
      <c r="AS9" s="8">
        <v>13</v>
      </c>
      <c r="AT9" s="8">
        <v>2</v>
      </c>
      <c r="AV9" s="17">
        <f t="shared" si="2"/>
        <v>8</v>
      </c>
      <c r="AW9" s="17" t="str">
        <f t="shared" si="3"/>
        <v>corridoio3</v>
      </c>
      <c r="AX9" s="18">
        <f>AQ9*H/sH</f>
        <v>24</v>
      </c>
      <c r="AY9" s="18">
        <f>AR9*W/sW</f>
        <v>800</v>
      </c>
      <c r="AZ9" s="18">
        <f>AS9*H/sH</f>
        <v>312</v>
      </c>
      <c r="BA9" s="18">
        <f>AT9*W/sW</f>
        <v>64</v>
      </c>
      <c r="BB9" s="14" t="str">
        <f>", "&amp;SUBSTITUTE(SUBSTITUTE(SUBSTITUTE(SUBSTITUTE(SUBSTITUTE(SUBSTITUTE(RECT,"%i",AV9),"%n",AW9),"%L",AY9),"%T",AX9),"%W",BA9),"%H",AZ9)</f>
        <v>, new Zone { Id = 8, Name = "corridoio3", Rect = new Rect { Left = 800, Top = 24, Width = 64, Height = 312 } }</v>
      </c>
    </row>
    <row r="10" spans="1:54" x14ac:dyDescent="0.25">
      <c r="A10" s="1"/>
      <c r="B10" s="1"/>
      <c r="C10" s="1"/>
      <c r="D10" s="1"/>
      <c r="E10" s="2"/>
      <c r="F10" s="2"/>
      <c r="G10" s="2"/>
      <c r="H10" s="6"/>
      <c r="I10" s="6"/>
      <c r="J10" s="9" t="s">
        <v>25</v>
      </c>
      <c r="K10" s="9"/>
      <c r="L10" s="9"/>
      <c r="M10" s="9"/>
      <c r="N10" s="9"/>
      <c r="O10" s="9"/>
      <c r="P10" s="9"/>
      <c r="Q10" s="9"/>
      <c r="R10" s="9"/>
      <c r="S10" s="6"/>
      <c r="T10" s="6"/>
      <c r="U10" s="9" t="s">
        <v>25</v>
      </c>
      <c r="V10" s="9"/>
      <c r="W10" s="9"/>
      <c r="X10" s="9"/>
      <c r="Y10" s="9"/>
      <c r="Z10" s="6"/>
      <c r="AA10" s="6"/>
      <c r="AB10" s="9" t="s">
        <v>25</v>
      </c>
      <c r="AC10" s="9"/>
      <c r="AD10" s="9"/>
      <c r="AE10" s="9"/>
      <c r="AF10" s="6"/>
      <c r="AG10" s="6"/>
      <c r="AH10" s="2" t="s">
        <v>18</v>
      </c>
      <c r="AI10" s="2"/>
      <c r="AJ10" s="2"/>
      <c r="AK10" s="2"/>
      <c r="AL10" s="2"/>
      <c r="AM10" s="2"/>
      <c r="AN10" s="2"/>
      <c r="AO10" s="8" t="s">
        <v>15</v>
      </c>
      <c r="AP10" s="8">
        <v>3243501</v>
      </c>
      <c r="AQ10" s="8">
        <v>1</v>
      </c>
      <c r="AR10" s="8">
        <v>27</v>
      </c>
      <c r="AS10" s="8">
        <v>4</v>
      </c>
      <c r="AT10" s="8">
        <v>6</v>
      </c>
      <c r="AV10" s="17">
        <f t="shared" si="2"/>
        <v>9</v>
      </c>
      <c r="AW10" s="17" t="str">
        <f t="shared" si="3"/>
        <v>birre</v>
      </c>
      <c r="AX10" s="18">
        <f>AQ10*H/sH</f>
        <v>24</v>
      </c>
      <c r="AY10" s="18">
        <f>AR10*W/sW</f>
        <v>864</v>
      </c>
      <c r="AZ10" s="18">
        <f>AS10*H/sH</f>
        <v>96</v>
      </c>
      <c r="BA10" s="18">
        <f>AT10*W/sW</f>
        <v>192</v>
      </c>
      <c r="BB10" s="14" t="str">
        <f>", "&amp;SUBSTITUTE(SUBSTITUTE(SUBSTITUTE(SUBSTITUTE(SUBSTITUTE(SUBSTITUTE(RECT,"%i",AV10),"%n",AW10),"%L",AY10),"%T",AX10),"%W",BA10),"%H",AZ10)</f>
        <v>, new Zone { Id = 9, Name = "birre", Rect = new Rect { Left = 864, Top = 24, Width = 192, Height = 96 } }</v>
      </c>
    </row>
    <row r="11" spans="1:54" x14ac:dyDescent="0.25">
      <c r="A11" s="1"/>
      <c r="B11" s="1"/>
      <c r="C11" s="1"/>
      <c r="D11" s="1"/>
      <c r="E11" s="2"/>
      <c r="F11" s="2"/>
      <c r="G11" s="2"/>
      <c r="H11" s="6"/>
      <c r="I11" s="6"/>
      <c r="J11" s="9"/>
      <c r="K11" s="9"/>
      <c r="L11" s="9"/>
      <c r="M11" s="9"/>
      <c r="N11" s="9"/>
      <c r="O11" s="9"/>
      <c r="P11" s="9"/>
      <c r="Q11" s="9"/>
      <c r="R11" s="9"/>
      <c r="S11" s="6"/>
      <c r="T11" s="6"/>
      <c r="U11" s="9"/>
      <c r="V11" s="9"/>
      <c r="W11" s="9"/>
      <c r="X11" s="9"/>
      <c r="Y11" s="9"/>
      <c r="Z11" s="6"/>
      <c r="AA11" s="6"/>
      <c r="AB11" s="9"/>
      <c r="AC11" s="9"/>
      <c r="AD11" s="9"/>
      <c r="AE11" s="9"/>
      <c r="AF11" s="6"/>
      <c r="AG11" s="6"/>
      <c r="AH11" s="2"/>
      <c r="AI11" s="2"/>
      <c r="AJ11" s="2"/>
      <c r="AK11" s="2"/>
      <c r="AL11" s="2"/>
      <c r="AM11" s="2"/>
      <c r="AN11" s="2"/>
      <c r="AO11" s="8" t="s">
        <v>14</v>
      </c>
      <c r="AP11" s="8">
        <v>10086143</v>
      </c>
      <c r="AQ11" s="8">
        <v>1</v>
      </c>
      <c r="AR11" s="8">
        <v>33</v>
      </c>
      <c r="AS11" s="8">
        <v>8</v>
      </c>
      <c r="AT11" s="8">
        <v>7</v>
      </c>
      <c r="AV11" s="17">
        <f t="shared" si="2"/>
        <v>10</v>
      </c>
      <c r="AW11" s="17" t="str">
        <f t="shared" si="3"/>
        <v>vini</v>
      </c>
      <c r="AX11" s="18">
        <f>AQ11*H/sH</f>
        <v>24</v>
      </c>
      <c r="AY11" s="18">
        <f>AR11*W/sW</f>
        <v>1056</v>
      </c>
      <c r="AZ11" s="18">
        <f>AS11*H/sH</f>
        <v>192</v>
      </c>
      <c r="BA11" s="18">
        <f>AT11*W/sW</f>
        <v>224</v>
      </c>
      <c r="BB11" s="14" t="str">
        <f>", "&amp;SUBSTITUTE(SUBSTITUTE(SUBSTITUTE(SUBSTITUTE(SUBSTITUTE(SUBSTITUTE(RECT,"%i",AV11),"%n",AW11),"%L",AY11),"%T",AX11),"%W",BA11),"%H",AZ11)</f>
        <v>, new Zone { Id = 10, Name = "vini", Rect = new Rect { Left = 1056, Top = 24, Width = 224, Height = 192 } }</v>
      </c>
    </row>
    <row r="12" spans="1:54" x14ac:dyDescent="0.25">
      <c r="A12" s="1"/>
      <c r="B12" s="1"/>
      <c r="C12" s="1"/>
      <c r="D12" s="1"/>
      <c r="E12" s="2"/>
      <c r="F12" s="2"/>
      <c r="G12" s="2"/>
      <c r="H12" s="6"/>
      <c r="I12" s="6"/>
      <c r="J12" s="9"/>
      <c r="K12" s="9"/>
      <c r="L12" s="9"/>
      <c r="M12" s="9"/>
      <c r="N12" s="9"/>
      <c r="O12" s="9"/>
      <c r="P12" s="9"/>
      <c r="Q12" s="9"/>
      <c r="R12" s="9"/>
      <c r="S12" s="6"/>
      <c r="T12" s="6"/>
      <c r="U12" s="9"/>
      <c r="V12" s="9"/>
      <c r="W12" s="9"/>
      <c r="X12" s="9"/>
      <c r="Y12" s="9"/>
      <c r="Z12" s="6"/>
      <c r="AA12" s="6"/>
      <c r="AB12" s="9"/>
      <c r="AC12" s="9"/>
      <c r="AD12" s="9"/>
      <c r="AE12" s="9"/>
      <c r="AF12" s="6"/>
      <c r="AG12" s="6"/>
      <c r="AH12" s="2"/>
      <c r="AI12" s="2"/>
      <c r="AJ12" s="2"/>
      <c r="AK12" s="2"/>
      <c r="AL12" s="2"/>
      <c r="AM12" s="2"/>
      <c r="AN12" s="2"/>
      <c r="AO12" s="8" t="s">
        <v>25</v>
      </c>
      <c r="AP12" s="8">
        <v>12566463</v>
      </c>
      <c r="AQ12" s="8">
        <v>3</v>
      </c>
      <c r="AR12" s="8">
        <v>9</v>
      </c>
      <c r="AS12" s="8">
        <v>4</v>
      </c>
      <c r="AT12" s="8">
        <v>9</v>
      </c>
      <c r="AV12" s="17">
        <f t="shared" si="2"/>
        <v>11</v>
      </c>
      <c r="AW12" s="17" t="str">
        <f t="shared" si="3"/>
        <v>e</v>
      </c>
      <c r="AX12" s="18">
        <f>AQ12*H/sH</f>
        <v>72</v>
      </c>
      <c r="AY12" s="18">
        <f>AR12*W/sW</f>
        <v>288</v>
      </c>
      <c r="AZ12" s="18">
        <f>AS12*H/sH</f>
        <v>96</v>
      </c>
      <c r="BA12" s="18">
        <f>AT12*W/sW</f>
        <v>288</v>
      </c>
      <c r="BB12" s="14" t="str">
        <f>", "&amp;SUBSTITUTE(SUBSTITUTE(SUBSTITUTE(SUBSTITUTE(SUBSTITUTE(SUBSTITUTE(RECT,"%i",AV12),"%n",AW12),"%L",AY12),"%T",AX12),"%W",BA12),"%H",AZ12)</f>
        <v>, new Zone { Id = 11, Name = "e", Rect = new Rect { Left = 288, Top = 72, Width = 288, Height = 96 } }</v>
      </c>
    </row>
    <row r="13" spans="1:54" x14ac:dyDescent="0.25">
      <c r="A13" s="1"/>
      <c r="B13" s="1"/>
      <c r="C13" s="1"/>
      <c r="D13" s="1"/>
      <c r="E13" s="2"/>
      <c r="F13" s="2"/>
      <c r="G13" s="2"/>
      <c r="H13" s="6"/>
      <c r="I13" s="6"/>
      <c r="J13" s="3" t="s">
        <v>7</v>
      </c>
      <c r="K13" s="3"/>
      <c r="L13" s="3"/>
      <c r="M13" s="3"/>
      <c r="N13" s="3"/>
      <c r="O13" s="3"/>
      <c r="P13" s="3"/>
      <c r="Q13" s="3"/>
      <c r="R13" s="3"/>
      <c r="S13" s="6"/>
      <c r="T13" s="6"/>
      <c r="U13" s="3" t="s">
        <v>8</v>
      </c>
      <c r="V13" s="3"/>
      <c r="W13" s="3"/>
      <c r="X13" s="3"/>
      <c r="Y13" s="3"/>
      <c r="Z13" s="6"/>
      <c r="AA13" s="6"/>
      <c r="AB13" s="3" t="s">
        <v>9</v>
      </c>
      <c r="AC13" s="3"/>
      <c r="AD13" s="3"/>
      <c r="AE13" s="3"/>
      <c r="AF13" s="6"/>
      <c r="AG13" s="6"/>
      <c r="AH13" s="2"/>
      <c r="AI13" s="2"/>
      <c r="AJ13" s="2"/>
      <c r="AK13" s="2"/>
      <c r="AL13" s="2"/>
      <c r="AM13" s="2"/>
      <c r="AN13" s="2"/>
      <c r="AO13" s="8" t="s">
        <v>1</v>
      </c>
      <c r="AP13" s="8">
        <v>49407</v>
      </c>
      <c r="AQ13" s="8">
        <v>5</v>
      </c>
      <c r="AR13" s="8">
        <v>4</v>
      </c>
      <c r="AS13" s="8">
        <v>12</v>
      </c>
      <c r="AT13" s="8">
        <v>3</v>
      </c>
      <c r="AV13" s="17">
        <f t="shared" si="2"/>
        <v>12</v>
      </c>
      <c r="AW13" s="17" t="str">
        <f t="shared" si="3"/>
        <v>cassa</v>
      </c>
      <c r="AX13" s="18">
        <f>AQ13*H/sH</f>
        <v>120</v>
      </c>
      <c r="AY13" s="18">
        <f>AR13*W/sW</f>
        <v>128</v>
      </c>
      <c r="AZ13" s="18">
        <f>AS13*H/sH</f>
        <v>288</v>
      </c>
      <c r="BA13" s="18">
        <f>AT13*W/sW</f>
        <v>96</v>
      </c>
      <c r="BB13" s="14" t="str">
        <f>", "&amp;SUBSTITUTE(SUBSTITUTE(SUBSTITUTE(SUBSTITUTE(SUBSTITUTE(SUBSTITUTE(RECT,"%i",AV13),"%n",AW13),"%L",AY13),"%T",AX13),"%W",BA13),"%H",AZ13)</f>
        <v>, new Zone { Id = 12, Name = "cassa", Rect = new Rect { Left = 128, Top = 120, Width = 96, Height = 288 } }</v>
      </c>
    </row>
    <row r="14" spans="1:54" x14ac:dyDescent="0.25">
      <c r="A14" s="1"/>
      <c r="B14" s="1"/>
      <c r="C14" s="1"/>
      <c r="D14" s="1"/>
      <c r="E14" s="2"/>
      <c r="F14" s="2"/>
      <c r="G14" s="2"/>
      <c r="H14" s="6"/>
      <c r="I14" s="6"/>
      <c r="J14" s="3"/>
      <c r="K14" s="3"/>
      <c r="L14" s="3"/>
      <c r="M14" s="3"/>
      <c r="N14" s="3"/>
      <c r="O14" s="3"/>
      <c r="P14" s="3"/>
      <c r="Q14" s="3"/>
      <c r="R14" s="3"/>
      <c r="S14" s="6"/>
      <c r="T14" s="6"/>
      <c r="U14" s="3"/>
      <c r="V14" s="3"/>
      <c r="W14" s="3"/>
      <c r="X14" s="3"/>
      <c r="Y14" s="3"/>
      <c r="Z14" s="6"/>
      <c r="AA14" s="6"/>
      <c r="AB14" s="3"/>
      <c r="AC14" s="3"/>
      <c r="AD14" s="3"/>
      <c r="AE14" s="3"/>
      <c r="AF14" s="6"/>
      <c r="AG14" s="6"/>
      <c r="AH14" s="2"/>
      <c r="AI14" s="2"/>
      <c r="AJ14" s="2"/>
      <c r="AK14" s="2"/>
      <c r="AL14" s="2"/>
      <c r="AM14" s="2"/>
      <c r="AN14" s="2"/>
      <c r="AO14" s="8" t="s">
        <v>25</v>
      </c>
      <c r="AP14" s="8">
        <v>12566463</v>
      </c>
      <c r="AQ14" s="8">
        <v>5</v>
      </c>
      <c r="AR14" s="8">
        <v>20</v>
      </c>
      <c r="AS14" s="8">
        <v>2</v>
      </c>
      <c r="AT14" s="8">
        <v>5</v>
      </c>
      <c r="AV14" s="17">
        <f t="shared" si="2"/>
        <v>13</v>
      </c>
      <c r="AW14" s="17" t="str">
        <f t="shared" si="3"/>
        <v>e</v>
      </c>
      <c r="AX14" s="18">
        <f>AQ14*H/sH</f>
        <v>120</v>
      </c>
      <c r="AY14" s="18">
        <f>AR14*W/sW</f>
        <v>640</v>
      </c>
      <c r="AZ14" s="18">
        <f>AS14*H/sH</f>
        <v>48</v>
      </c>
      <c r="BA14" s="18">
        <f>AT14*W/sW</f>
        <v>160</v>
      </c>
      <c r="BB14" s="14" t="str">
        <f>", "&amp;SUBSTITUTE(SUBSTITUTE(SUBSTITUTE(SUBSTITUTE(SUBSTITUTE(SUBSTITUTE(RECT,"%i",AV14),"%n",AW14),"%L",AY14),"%T",AX14),"%W",BA14),"%H",AZ14)</f>
        <v>, new Zone { Id = 13, Name = "e", Rect = new Rect { Left = 640, Top = 120, Width = 160, Height = 48 } }</v>
      </c>
    </row>
    <row r="15" spans="1:54" x14ac:dyDescent="0.25">
      <c r="A15" s="1"/>
      <c r="B15" s="1"/>
      <c r="C15" s="1"/>
      <c r="D15" s="1"/>
      <c r="E15" s="2"/>
      <c r="F15" s="2"/>
      <c r="G15" s="2"/>
      <c r="H15" s="6"/>
      <c r="I15" s="6"/>
      <c r="J15" s="9" t="s">
        <v>25</v>
      </c>
      <c r="K15" s="9"/>
      <c r="L15" s="9"/>
      <c r="M15" s="9"/>
      <c r="N15" s="9"/>
      <c r="O15" s="9"/>
      <c r="P15" s="9"/>
      <c r="Q15" s="9"/>
      <c r="R15" s="9"/>
      <c r="S15" s="6"/>
      <c r="T15" s="6"/>
      <c r="U15" s="9" t="s">
        <v>25</v>
      </c>
      <c r="V15" s="9"/>
      <c r="W15" s="9"/>
      <c r="X15" s="9"/>
      <c r="Y15" s="9"/>
      <c r="Z15" s="9"/>
      <c r="AA15" s="9"/>
      <c r="AB15" s="9"/>
      <c r="AC15" s="9"/>
      <c r="AD15" s="9"/>
      <c r="AE15" s="9"/>
      <c r="AF15" s="6"/>
      <c r="AG15" s="6"/>
      <c r="AH15" s="2"/>
      <c r="AI15" s="2"/>
      <c r="AJ15" s="2"/>
      <c r="AK15" s="2"/>
      <c r="AL15" s="2"/>
      <c r="AM15" s="2"/>
      <c r="AN15" s="2"/>
      <c r="AO15" s="8" t="s">
        <v>25</v>
      </c>
      <c r="AP15" s="8">
        <v>12566463</v>
      </c>
      <c r="AQ15" s="8">
        <v>5</v>
      </c>
      <c r="AR15" s="8">
        <v>27</v>
      </c>
      <c r="AS15" s="8">
        <v>2</v>
      </c>
      <c r="AT15" s="8">
        <v>4</v>
      </c>
      <c r="AV15" s="17">
        <f t="shared" si="2"/>
        <v>14</v>
      </c>
      <c r="AW15" s="17" t="str">
        <f t="shared" si="3"/>
        <v>e</v>
      </c>
      <c r="AX15" s="18">
        <f>AQ15*H/sH</f>
        <v>120</v>
      </c>
      <c r="AY15" s="18">
        <f>AR15*W/sW</f>
        <v>864</v>
      </c>
      <c r="AZ15" s="18">
        <f>AS15*H/sH</f>
        <v>48</v>
      </c>
      <c r="BA15" s="18">
        <f>AT15*W/sW</f>
        <v>128</v>
      </c>
      <c r="BB15" s="14" t="str">
        <f>", "&amp;SUBSTITUTE(SUBSTITUTE(SUBSTITUTE(SUBSTITUTE(SUBSTITUTE(SUBSTITUTE(RECT,"%i",AV15),"%n",AW15),"%L",AY15),"%T",AX15),"%W",BA15),"%H",AZ15)</f>
        <v>, new Zone { Id = 14, Name = "e", Rect = new Rect { Left = 864, Top = 120, Width = 128, Height = 48 } }</v>
      </c>
    </row>
    <row r="16" spans="1:54" x14ac:dyDescent="0.25">
      <c r="A16" s="1"/>
      <c r="B16" s="1"/>
      <c r="C16" s="1"/>
      <c r="D16" s="1"/>
      <c r="E16" s="2"/>
      <c r="F16" s="2"/>
      <c r="G16" s="2"/>
      <c r="H16" s="6"/>
      <c r="I16" s="6"/>
      <c r="J16" s="9"/>
      <c r="K16" s="9"/>
      <c r="L16" s="9"/>
      <c r="M16" s="9"/>
      <c r="N16" s="9"/>
      <c r="O16" s="9"/>
      <c r="P16" s="9"/>
      <c r="Q16" s="9"/>
      <c r="R16" s="9"/>
      <c r="S16" s="6"/>
      <c r="T16" s="6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6"/>
      <c r="AG16" s="6"/>
      <c r="AH16" s="2"/>
      <c r="AI16" s="2"/>
      <c r="AJ16" s="2"/>
      <c r="AK16" s="2"/>
      <c r="AL16" s="2"/>
      <c r="AM16" s="2"/>
      <c r="AN16" s="2"/>
      <c r="AO16" s="8" t="s">
        <v>24</v>
      </c>
      <c r="AP16" s="8">
        <v>11854022</v>
      </c>
      <c r="AQ16" s="8">
        <v>5</v>
      </c>
      <c r="AR16" s="8">
        <v>31</v>
      </c>
      <c r="AS16" s="8">
        <v>24</v>
      </c>
      <c r="AT16" s="8">
        <v>2</v>
      </c>
      <c r="AV16" s="17">
        <f t="shared" si="2"/>
        <v>15</v>
      </c>
      <c r="AW16" s="17" t="str">
        <f t="shared" si="3"/>
        <v>corridoio 4</v>
      </c>
      <c r="AX16" s="18">
        <f>AQ16*H/sH</f>
        <v>120</v>
      </c>
      <c r="AY16" s="18">
        <f>AR16*W/sW</f>
        <v>992</v>
      </c>
      <c r="AZ16" s="18">
        <f>AS16*H/sH</f>
        <v>576</v>
      </c>
      <c r="BA16" s="18">
        <f>AT16*W/sW</f>
        <v>64</v>
      </c>
      <c r="BB16" s="14" t="str">
        <f>", "&amp;SUBSTITUTE(SUBSTITUTE(SUBSTITUTE(SUBSTITUTE(SUBSTITUTE(SUBSTITUTE(RECT,"%i",AV16),"%n",AW16),"%L",AY16),"%T",AX16),"%W",BA16),"%H",AZ16)</f>
        <v>, new Zone { Id = 15, Name = "corridoio 4", Rect = new Rect { Left = 992, Top = 120, Width = 64, Height = 576 } }</v>
      </c>
    </row>
    <row r="17" spans="1:54" x14ac:dyDescent="0.25">
      <c r="A17" s="1"/>
      <c r="B17" s="1"/>
      <c r="C17" s="1"/>
      <c r="D17" s="1"/>
      <c r="E17" s="2"/>
      <c r="F17" s="2"/>
      <c r="G17" s="2"/>
      <c r="H17" s="6"/>
      <c r="I17" s="6"/>
      <c r="J17" s="9"/>
      <c r="K17" s="9"/>
      <c r="L17" s="9"/>
      <c r="M17" s="9"/>
      <c r="N17" s="9"/>
      <c r="O17" s="9"/>
      <c r="P17" s="9"/>
      <c r="Q17" s="9"/>
      <c r="R17" s="9"/>
      <c r="S17" s="6"/>
      <c r="T17" s="6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6"/>
      <c r="AG17" s="6"/>
      <c r="AH17" s="2"/>
      <c r="AI17" s="2"/>
      <c r="AJ17" s="2"/>
      <c r="AK17" s="2"/>
      <c r="AL17" s="2"/>
      <c r="AM17" s="2"/>
      <c r="AN17" s="2"/>
      <c r="AO17" s="8" t="s">
        <v>10</v>
      </c>
      <c r="AP17" s="8">
        <v>14395790</v>
      </c>
      <c r="AQ17" s="8">
        <v>7</v>
      </c>
      <c r="AR17" s="8">
        <v>9</v>
      </c>
      <c r="AS17" s="8">
        <v>2</v>
      </c>
      <c r="AT17" s="8">
        <v>9</v>
      </c>
      <c r="AV17" s="17">
        <f t="shared" si="2"/>
        <v>16</v>
      </c>
      <c r="AW17" s="17" t="str">
        <f t="shared" si="3"/>
        <v>corisa 7</v>
      </c>
      <c r="AX17" s="18">
        <f>AQ17*H/sH</f>
        <v>168</v>
      </c>
      <c r="AY17" s="18">
        <f>AR17*W/sW</f>
        <v>288</v>
      </c>
      <c r="AZ17" s="18">
        <f>AS17*H/sH</f>
        <v>48</v>
      </c>
      <c r="BA17" s="18">
        <f>AT17*W/sW</f>
        <v>288</v>
      </c>
      <c r="BB17" s="14" t="str">
        <f>", "&amp;SUBSTITUTE(SUBSTITUTE(SUBSTITUTE(SUBSTITUTE(SUBSTITUTE(SUBSTITUTE(RECT,"%i",AV17),"%n",AW17),"%L",AY17),"%T",AX17),"%W",BA17),"%H",AZ17)</f>
        <v>, new Zone { Id = 16, Name = "corisa 7", Rect = new Rect { Left = 288, Top = 168, Width = 288, Height = 48 } }</v>
      </c>
    </row>
    <row r="18" spans="1:54" x14ac:dyDescent="0.25">
      <c r="A18" s="1"/>
      <c r="B18" s="1"/>
      <c r="C18" s="1"/>
      <c r="D18" s="1"/>
      <c r="E18" s="8" t="s">
        <v>25</v>
      </c>
      <c r="F18" s="8"/>
      <c r="G18" s="8"/>
      <c r="H18" s="6"/>
      <c r="I18" s="6"/>
      <c r="J18" s="3" t="s">
        <v>5</v>
      </c>
      <c r="K18" s="3"/>
      <c r="L18" s="3"/>
      <c r="M18" s="3"/>
      <c r="N18" s="3"/>
      <c r="O18" s="3"/>
      <c r="P18" s="3"/>
      <c r="Q18" s="3"/>
      <c r="R18" s="3"/>
      <c r="S18" s="6"/>
      <c r="T18" s="6"/>
      <c r="U18" s="3" t="s">
        <v>6</v>
      </c>
      <c r="V18" s="3"/>
      <c r="W18" s="3"/>
      <c r="X18" s="3"/>
      <c r="Y18" s="3"/>
      <c r="Z18" s="3"/>
      <c r="AA18" s="3"/>
      <c r="AB18" s="3"/>
      <c r="AC18" s="3"/>
      <c r="AD18" s="3"/>
      <c r="AE18" s="3"/>
      <c r="AF18" s="6"/>
      <c r="AG18" s="6"/>
      <c r="AH18" s="4" t="s">
        <v>19</v>
      </c>
      <c r="AI18" s="4"/>
      <c r="AJ18" s="4"/>
      <c r="AK18" s="4"/>
      <c r="AL18" s="4"/>
      <c r="AM18" s="4"/>
      <c r="AN18" s="4"/>
      <c r="AO18" s="8" t="s">
        <v>11</v>
      </c>
      <c r="AP18" s="8">
        <v>14395790</v>
      </c>
      <c r="AQ18" s="8">
        <v>7</v>
      </c>
      <c r="AR18" s="8">
        <v>20</v>
      </c>
      <c r="AS18" s="8">
        <v>2</v>
      </c>
      <c r="AT18" s="8">
        <v>5</v>
      </c>
      <c r="AV18" s="17">
        <f t="shared" si="2"/>
        <v>17</v>
      </c>
      <c r="AW18" s="17" t="str">
        <f t="shared" si="3"/>
        <v>corisa 8</v>
      </c>
      <c r="AX18" s="18">
        <f>AQ18*H/sH</f>
        <v>168</v>
      </c>
      <c r="AY18" s="18">
        <f>AR18*W/sW</f>
        <v>640</v>
      </c>
      <c r="AZ18" s="18">
        <f>AS18*H/sH</f>
        <v>48</v>
      </c>
      <c r="BA18" s="18">
        <f>AT18*W/sW</f>
        <v>160</v>
      </c>
      <c r="BB18" s="14" t="str">
        <f>", "&amp;SUBSTITUTE(SUBSTITUTE(SUBSTITUTE(SUBSTITUTE(SUBSTITUTE(SUBSTITUTE(RECT,"%i",AV18),"%n",AW18),"%L",AY18),"%T",AX18),"%W",BA18),"%H",AZ18)</f>
        <v>, new Zone { Id = 17, Name = "corisa 8", Rect = new Rect { Left = 640, Top = 168, Width = 160, Height = 48 } }</v>
      </c>
    </row>
    <row r="19" spans="1:54" x14ac:dyDescent="0.25">
      <c r="A19" s="1"/>
      <c r="B19" s="1"/>
      <c r="C19" s="1"/>
      <c r="D19" s="1"/>
      <c r="E19" s="8"/>
      <c r="F19" s="8"/>
      <c r="G19" s="8"/>
      <c r="H19" s="6"/>
      <c r="I19" s="6"/>
      <c r="J19" s="3"/>
      <c r="K19" s="3"/>
      <c r="L19" s="3"/>
      <c r="M19" s="3"/>
      <c r="N19" s="3"/>
      <c r="O19" s="3"/>
      <c r="P19" s="3"/>
      <c r="Q19" s="3"/>
      <c r="R19" s="3"/>
      <c r="S19" s="6"/>
      <c r="T19" s="6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6"/>
      <c r="AG19" s="6"/>
      <c r="AH19" s="4"/>
      <c r="AI19" s="4"/>
      <c r="AJ19" s="4"/>
      <c r="AK19" s="4"/>
      <c r="AL19" s="4"/>
      <c r="AM19" s="4"/>
      <c r="AN19" s="4"/>
      <c r="AO19" s="8" t="s">
        <v>12</v>
      </c>
      <c r="AP19" s="8">
        <v>14395790</v>
      </c>
      <c r="AQ19" s="8">
        <v>7</v>
      </c>
      <c r="AR19" s="8">
        <v>27</v>
      </c>
      <c r="AS19" s="8">
        <v>2</v>
      </c>
      <c r="AT19" s="8">
        <v>4</v>
      </c>
      <c r="AV19" s="17">
        <f t="shared" si="2"/>
        <v>18</v>
      </c>
      <c r="AW19" s="17" t="str">
        <f t="shared" si="3"/>
        <v>promo 2</v>
      </c>
      <c r="AX19" s="18">
        <f>AQ19*H/sH</f>
        <v>168</v>
      </c>
      <c r="AY19" s="18">
        <f>AR19*W/sW</f>
        <v>864</v>
      </c>
      <c r="AZ19" s="18">
        <f>AS19*H/sH</f>
        <v>48</v>
      </c>
      <c r="BA19" s="18">
        <f>AT19*W/sW</f>
        <v>128</v>
      </c>
      <c r="BB19" s="14" t="str">
        <f>", "&amp;SUBSTITUTE(SUBSTITUTE(SUBSTITUTE(SUBSTITUTE(SUBSTITUTE(SUBSTITUTE(RECT,"%i",AV19),"%n",AW19),"%L",AY19),"%T",AX19),"%W",BA19),"%H",AZ19)</f>
        <v>, new Zone { Id = 18, Name = "promo 2", Rect = new Rect { Left = 864, Top = 168, Width = 128, Height = 48 } }</v>
      </c>
    </row>
    <row r="20" spans="1:54" x14ac:dyDescent="0.25">
      <c r="A20" s="1"/>
      <c r="B20" s="1"/>
      <c r="C20" s="1"/>
      <c r="D20" s="1"/>
      <c r="E20" s="8"/>
      <c r="F20" s="8"/>
      <c r="G20" s="8"/>
      <c r="H20" s="6"/>
      <c r="I20" s="6"/>
      <c r="J20" s="9" t="s">
        <v>25</v>
      </c>
      <c r="K20" s="9"/>
      <c r="L20" s="9"/>
      <c r="M20" s="9"/>
      <c r="N20" s="9"/>
      <c r="O20" s="9"/>
      <c r="P20" s="9"/>
      <c r="Q20" s="9"/>
      <c r="R20" s="9"/>
      <c r="S20" s="6"/>
      <c r="T20" s="6"/>
      <c r="U20" s="9" t="s">
        <v>25</v>
      </c>
      <c r="V20" s="9"/>
      <c r="W20" s="9"/>
      <c r="X20" s="9"/>
      <c r="Y20" s="9"/>
      <c r="Z20" s="9"/>
      <c r="AA20" s="9"/>
      <c r="AB20" s="9"/>
      <c r="AC20" s="9"/>
      <c r="AD20" s="9"/>
      <c r="AE20" s="9"/>
      <c r="AF20" s="6"/>
      <c r="AG20" s="6"/>
      <c r="AH20" s="4"/>
      <c r="AI20" s="4"/>
      <c r="AJ20" s="4"/>
      <c r="AK20" s="4"/>
      <c r="AL20" s="4"/>
      <c r="AM20" s="4"/>
      <c r="AN20" s="4"/>
      <c r="AO20" s="8" t="s">
        <v>25</v>
      </c>
      <c r="AP20" s="8">
        <v>12566463</v>
      </c>
      <c r="AQ20" s="8">
        <v>9</v>
      </c>
      <c r="AR20" s="8">
        <v>9</v>
      </c>
      <c r="AS20" s="8">
        <v>3</v>
      </c>
      <c r="AT20" s="8">
        <v>9</v>
      </c>
      <c r="AV20" s="17">
        <f t="shared" si="2"/>
        <v>19</v>
      </c>
      <c r="AW20" s="17" t="str">
        <f t="shared" si="3"/>
        <v>e</v>
      </c>
      <c r="AX20" s="18">
        <f>AQ20*H/sH</f>
        <v>216</v>
      </c>
      <c r="AY20" s="18">
        <f>AR20*W/sW</f>
        <v>288</v>
      </c>
      <c r="AZ20" s="18">
        <f>AS20*H/sH</f>
        <v>72</v>
      </c>
      <c r="BA20" s="18">
        <f>AT20*W/sW</f>
        <v>288</v>
      </c>
      <c r="BB20" s="14" t="str">
        <f>", "&amp;SUBSTITUTE(SUBSTITUTE(SUBSTITUTE(SUBSTITUTE(SUBSTITUTE(SUBSTITUTE(RECT,"%i",AV20),"%n",AW20),"%L",AY20),"%T",AX20),"%W",BA20),"%H",AZ20)</f>
        <v>, new Zone { Id = 19, Name = "e", Rect = new Rect { Left = 288, Top = 216, Width = 288, Height = 72 } }</v>
      </c>
    </row>
    <row r="21" spans="1:54" x14ac:dyDescent="0.25">
      <c r="A21" s="1"/>
      <c r="B21" s="1"/>
      <c r="C21" s="1"/>
      <c r="D21" s="1"/>
      <c r="E21" s="8"/>
      <c r="F21" s="8"/>
      <c r="G21" s="8"/>
      <c r="H21" s="6"/>
      <c r="I21" s="6"/>
      <c r="J21" s="9"/>
      <c r="K21" s="9"/>
      <c r="L21" s="9"/>
      <c r="M21" s="9"/>
      <c r="N21" s="9"/>
      <c r="O21" s="9"/>
      <c r="P21" s="9"/>
      <c r="Q21" s="9"/>
      <c r="R21" s="9"/>
      <c r="S21" s="6"/>
      <c r="T21" s="6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6"/>
      <c r="AG21" s="6"/>
      <c r="AH21" s="4"/>
      <c r="AI21" s="4"/>
      <c r="AJ21" s="4"/>
      <c r="AK21" s="4"/>
      <c r="AL21" s="4"/>
      <c r="AM21" s="4"/>
      <c r="AN21" s="4"/>
      <c r="AO21" s="8" t="s">
        <v>25</v>
      </c>
      <c r="AP21" s="8">
        <v>12566463</v>
      </c>
      <c r="AQ21" s="8">
        <v>9</v>
      </c>
      <c r="AR21" s="8">
        <v>20</v>
      </c>
      <c r="AS21" s="8">
        <v>3</v>
      </c>
      <c r="AT21" s="8">
        <v>5</v>
      </c>
      <c r="AV21" s="17">
        <f t="shared" si="2"/>
        <v>20</v>
      </c>
      <c r="AW21" s="17" t="str">
        <f t="shared" si="3"/>
        <v>e</v>
      </c>
      <c r="AX21" s="18">
        <f>AQ21*H/sH</f>
        <v>216</v>
      </c>
      <c r="AY21" s="18">
        <f>AR21*W/sW</f>
        <v>640</v>
      </c>
      <c r="AZ21" s="18">
        <f>AS21*H/sH</f>
        <v>72</v>
      </c>
      <c r="BA21" s="18">
        <f>AT21*W/sW</f>
        <v>160</v>
      </c>
      <c r="BB21" s="14" t="str">
        <f>", "&amp;SUBSTITUTE(SUBSTITUTE(SUBSTITUTE(SUBSTITUTE(SUBSTITUTE(SUBSTITUTE(RECT,"%i",AV21),"%n",AW21),"%L",AY21),"%T",AX21),"%W",BA21),"%H",AZ21)</f>
        <v>, new Zone { Id = 20, Name = "e", Rect = new Rect { Left = 640, Top = 216, Width = 160, Height = 72 } }</v>
      </c>
    </row>
    <row r="22" spans="1:54" x14ac:dyDescent="0.25">
      <c r="A22" s="1"/>
      <c r="B22" s="1"/>
      <c r="C22" s="1"/>
      <c r="D22" s="1"/>
      <c r="E22" s="2" t="s">
        <v>2</v>
      </c>
      <c r="F22" s="2"/>
      <c r="G22" s="2"/>
      <c r="H22" s="6"/>
      <c r="I22" s="6"/>
      <c r="J22" s="9"/>
      <c r="K22" s="9"/>
      <c r="L22" s="9"/>
      <c r="M22" s="9"/>
      <c r="N22" s="9"/>
      <c r="O22" s="9"/>
      <c r="P22" s="9"/>
      <c r="Q22" s="9"/>
      <c r="R22" s="9"/>
      <c r="S22" s="6"/>
      <c r="T22" s="6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6"/>
      <c r="AG22" s="6"/>
      <c r="AH22" s="4"/>
      <c r="AI22" s="4"/>
      <c r="AJ22" s="4"/>
      <c r="AK22" s="4"/>
      <c r="AL22" s="4"/>
      <c r="AM22" s="4"/>
      <c r="AN22" s="4"/>
      <c r="AO22" s="8" t="s">
        <v>25</v>
      </c>
      <c r="AP22" s="8">
        <v>12566463</v>
      </c>
      <c r="AQ22" s="8">
        <v>9</v>
      </c>
      <c r="AR22" s="8">
        <v>27</v>
      </c>
      <c r="AS22" s="8">
        <v>3</v>
      </c>
      <c r="AT22" s="8">
        <v>4</v>
      </c>
      <c r="AV22" s="17">
        <f t="shared" si="2"/>
        <v>21</v>
      </c>
      <c r="AW22" s="17" t="str">
        <f t="shared" si="3"/>
        <v>e</v>
      </c>
      <c r="AX22" s="18">
        <f>AQ22*H/sH</f>
        <v>216</v>
      </c>
      <c r="AY22" s="18">
        <f>AR22*W/sW</f>
        <v>864</v>
      </c>
      <c r="AZ22" s="18">
        <f>AS22*H/sH</f>
        <v>72</v>
      </c>
      <c r="BA22" s="18">
        <f>AT22*W/sW</f>
        <v>128</v>
      </c>
      <c r="BB22" s="14" t="str">
        <f>", "&amp;SUBSTITUTE(SUBSTITUTE(SUBSTITUTE(SUBSTITUTE(SUBSTITUTE(SUBSTITUTE(RECT,"%i",AV22),"%n",AW22),"%L",AY22),"%T",AX22),"%W",BA22),"%H",AZ22)</f>
        <v>, new Zone { Id = 21, Name = "e", Rect = new Rect { Left = 864, Top = 216, Width = 128, Height = 72 } }</v>
      </c>
    </row>
    <row r="23" spans="1:54" x14ac:dyDescent="0.25">
      <c r="A23" s="1"/>
      <c r="B23" s="1"/>
      <c r="C23" s="1"/>
      <c r="D23" s="1"/>
      <c r="E23" s="2"/>
      <c r="F23" s="2"/>
      <c r="G23" s="2"/>
      <c r="H23" s="6"/>
      <c r="I23" s="6"/>
      <c r="J23" s="3" t="s">
        <v>3</v>
      </c>
      <c r="K23" s="3"/>
      <c r="L23" s="3"/>
      <c r="M23" s="3"/>
      <c r="N23" s="3"/>
      <c r="O23" s="3"/>
      <c r="P23" s="3"/>
      <c r="Q23" s="3"/>
      <c r="R23" s="3"/>
      <c r="S23" s="6"/>
      <c r="T23" s="6"/>
      <c r="U23" s="3" t="s">
        <v>4</v>
      </c>
      <c r="V23" s="3"/>
      <c r="W23" s="3"/>
      <c r="X23" s="3"/>
      <c r="Y23" s="3"/>
      <c r="Z23" s="3"/>
      <c r="AA23" s="3"/>
      <c r="AB23" s="3"/>
      <c r="AC23" s="3"/>
      <c r="AD23" s="3"/>
      <c r="AE23" s="3"/>
      <c r="AF23" s="6"/>
      <c r="AG23" s="6"/>
      <c r="AH23" s="4"/>
      <c r="AI23" s="4"/>
      <c r="AJ23" s="4"/>
      <c r="AK23" s="4"/>
      <c r="AL23" s="4"/>
      <c r="AM23" s="4"/>
      <c r="AN23" s="4"/>
      <c r="AO23" s="8" t="s">
        <v>18</v>
      </c>
      <c r="AP23" s="8">
        <v>49407</v>
      </c>
      <c r="AQ23" s="8">
        <v>9</v>
      </c>
      <c r="AR23" s="8">
        <v>33</v>
      </c>
      <c r="AS23" s="8">
        <v>8</v>
      </c>
      <c r="AT23" s="8">
        <v>7</v>
      </c>
      <c r="AV23" s="17">
        <f t="shared" si="2"/>
        <v>22</v>
      </c>
      <c r="AW23" s="17" t="str">
        <f t="shared" si="3"/>
        <v>servito 1</v>
      </c>
      <c r="AX23" s="18">
        <f>AQ23*H/sH</f>
        <v>216</v>
      </c>
      <c r="AY23" s="18">
        <f>AR23*W/sW</f>
        <v>1056</v>
      </c>
      <c r="AZ23" s="18">
        <f>AS23*H/sH</f>
        <v>192</v>
      </c>
      <c r="BA23" s="18">
        <f>AT23*W/sW</f>
        <v>224</v>
      </c>
      <c r="BB23" s="14" t="str">
        <f>", "&amp;SUBSTITUTE(SUBSTITUTE(SUBSTITUTE(SUBSTITUTE(SUBSTITUTE(SUBSTITUTE(RECT,"%i",AV23),"%n",AW23),"%L",AY23),"%T",AX23),"%W",BA23),"%H",AZ23)</f>
        <v>, new Zone { Id = 22, Name = "servito 1", Rect = new Rect { Left = 1056, Top = 216, Width = 224, Height = 192 } }</v>
      </c>
    </row>
    <row r="24" spans="1:54" x14ac:dyDescent="0.25">
      <c r="A24" s="1"/>
      <c r="B24" s="1"/>
      <c r="C24" s="1"/>
      <c r="D24" s="1"/>
      <c r="E24" s="2"/>
      <c r="F24" s="2"/>
      <c r="G24" s="2"/>
      <c r="H24" s="6"/>
      <c r="I24" s="6"/>
      <c r="J24" s="3"/>
      <c r="K24" s="3"/>
      <c r="L24" s="3"/>
      <c r="M24" s="3"/>
      <c r="N24" s="3"/>
      <c r="O24" s="3"/>
      <c r="P24" s="3"/>
      <c r="Q24" s="3"/>
      <c r="R24" s="3"/>
      <c r="S24" s="6"/>
      <c r="T24" s="6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6"/>
      <c r="AG24" s="6"/>
      <c r="AH24" s="4"/>
      <c r="AI24" s="4"/>
      <c r="AJ24" s="4"/>
      <c r="AK24" s="4"/>
      <c r="AL24" s="4"/>
      <c r="AM24" s="4"/>
      <c r="AN24" s="4"/>
      <c r="AO24" s="8" t="s">
        <v>7</v>
      </c>
      <c r="AP24" s="8">
        <v>14395790</v>
      </c>
      <c r="AQ24" s="8">
        <v>12</v>
      </c>
      <c r="AR24" s="8">
        <v>9</v>
      </c>
      <c r="AS24" s="8">
        <v>2</v>
      </c>
      <c r="AT24" s="8">
        <v>9</v>
      </c>
      <c r="AV24" s="17">
        <f t="shared" si="2"/>
        <v>23</v>
      </c>
      <c r="AW24" s="17" t="str">
        <f t="shared" si="3"/>
        <v>corsia 5</v>
      </c>
      <c r="AX24" s="18">
        <f>AQ24*H/sH</f>
        <v>288</v>
      </c>
      <c r="AY24" s="18">
        <f>AR24*W/sW</f>
        <v>288</v>
      </c>
      <c r="AZ24" s="18">
        <f>AS24*H/sH</f>
        <v>48</v>
      </c>
      <c r="BA24" s="18">
        <f>AT24*W/sW</f>
        <v>288</v>
      </c>
      <c r="BB24" s="14" t="str">
        <f>", "&amp;SUBSTITUTE(SUBSTITUTE(SUBSTITUTE(SUBSTITUTE(SUBSTITUTE(SUBSTITUTE(RECT,"%i",AV24),"%n",AW24),"%L",AY24),"%T",AX24),"%W",BA24),"%H",AZ24)</f>
        <v>, new Zone { Id = 23, Name = "corsia 5", Rect = new Rect { Left = 288, Top = 288, Width = 288, Height = 48 } }</v>
      </c>
    </row>
    <row r="25" spans="1:54" x14ac:dyDescent="0.25">
      <c r="A25" s="1"/>
      <c r="B25" s="1"/>
      <c r="C25" s="1"/>
      <c r="D25" s="1"/>
      <c r="E25" s="2"/>
      <c r="F25" s="2"/>
      <c r="G25" s="2"/>
      <c r="H25" s="6"/>
      <c r="I25" s="6"/>
      <c r="J25" s="9" t="s">
        <v>25</v>
      </c>
      <c r="K25" s="9"/>
      <c r="L25" s="9"/>
      <c r="M25" s="9"/>
      <c r="N25" s="9"/>
      <c r="O25" s="9"/>
      <c r="P25" s="9"/>
      <c r="Q25" s="9"/>
      <c r="R25" s="9"/>
      <c r="S25" s="6"/>
      <c r="T25" s="6"/>
      <c r="U25" s="9" t="s">
        <v>25</v>
      </c>
      <c r="V25" s="9"/>
      <c r="W25" s="9"/>
      <c r="X25" s="9"/>
      <c r="Y25" s="9"/>
      <c r="Z25" s="9"/>
      <c r="AA25" s="9"/>
      <c r="AB25" s="9"/>
      <c r="AC25" s="9"/>
      <c r="AD25" s="9"/>
      <c r="AE25" s="9"/>
      <c r="AF25" s="6"/>
      <c r="AG25" s="6"/>
      <c r="AH25" s="7" t="s">
        <v>20</v>
      </c>
      <c r="AI25" s="7"/>
      <c r="AJ25" s="7"/>
      <c r="AK25" s="7"/>
      <c r="AL25" s="7"/>
      <c r="AM25" s="7"/>
      <c r="AN25" s="7"/>
      <c r="AO25" s="8" t="s">
        <v>8</v>
      </c>
      <c r="AP25" s="8">
        <v>14395790</v>
      </c>
      <c r="AQ25" s="8">
        <v>12</v>
      </c>
      <c r="AR25" s="8">
        <v>20</v>
      </c>
      <c r="AS25" s="8">
        <v>2</v>
      </c>
      <c r="AT25" s="8">
        <v>5</v>
      </c>
      <c r="AV25" s="17">
        <f t="shared" si="2"/>
        <v>24</v>
      </c>
      <c r="AW25" s="17" t="str">
        <f t="shared" si="3"/>
        <v>corsia 6</v>
      </c>
      <c r="AX25" s="18">
        <f>AQ25*H/sH</f>
        <v>288</v>
      </c>
      <c r="AY25" s="18">
        <f>AR25*W/sW</f>
        <v>640</v>
      </c>
      <c r="AZ25" s="18">
        <f>AS25*H/sH</f>
        <v>48</v>
      </c>
      <c r="BA25" s="18">
        <f>AT25*W/sW</f>
        <v>160</v>
      </c>
      <c r="BB25" s="14" t="str">
        <f>", "&amp;SUBSTITUTE(SUBSTITUTE(SUBSTITUTE(SUBSTITUTE(SUBSTITUTE(SUBSTITUTE(RECT,"%i",AV25),"%n",AW25),"%L",AY25),"%T",AX25),"%W",BA25),"%H",AZ25)</f>
        <v>, new Zone { Id = 24, Name = "corsia 6", Rect = new Rect { Left = 640, Top = 288, Width = 160, Height = 48 } }</v>
      </c>
    </row>
    <row r="26" spans="1:54" x14ac:dyDescent="0.25">
      <c r="A26" s="1"/>
      <c r="B26" s="1"/>
      <c r="C26" s="1"/>
      <c r="D26" s="1"/>
      <c r="E26" s="2"/>
      <c r="F26" s="2"/>
      <c r="G26" s="2"/>
      <c r="H26" s="6"/>
      <c r="I26" s="6"/>
      <c r="J26" s="9"/>
      <c r="K26" s="9"/>
      <c r="L26" s="9"/>
      <c r="M26" s="9"/>
      <c r="N26" s="9"/>
      <c r="O26" s="9"/>
      <c r="P26" s="9"/>
      <c r="Q26" s="9"/>
      <c r="R26" s="9"/>
      <c r="S26" s="6"/>
      <c r="T26" s="6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6"/>
      <c r="AG26" s="6"/>
      <c r="AH26" s="7"/>
      <c r="AI26" s="7"/>
      <c r="AJ26" s="7"/>
      <c r="AK26" s="7"/>
      <c r="AL26" s="7"/>
      <c r="AM26" s="7"/>
      <c r="AN26" s="7"/>
      <c r="AO26" s="8" t="s">
        <v>9</v>
      </c>
      <c r="AP26" s="8">
        <v>14395790</v>
      </c>
      <c r="AQ26" s="8">
        <v>12</v>
      </c>
      <c r="AR26" s="8">
        <v>27</v>
      </c>
      <c r="AS26" s="8">
        <v>2</v>
      </c>
      <c r="AT26" s="8">
        <v>4</v>
      </c>
      <c r="AV26" s="17">
        <f t="shared" si="2"/>
        <v>25</v>
      </c>
      <c r="AW26" s="17" t="str">
        <f t="shared" si="3"/>
        <v>promo 1</v>
      </c>
      <c r="AX26" s="18">
        <f>AQ26*H/sH</f>
        <v>288</v>
      </c>
      <c r="AY26" s="18">
        <f>AR26*W/sW</f>
        <v>864</v>
      </c>
      <c r="AZ26" s="18">
        <f>AS26*H/sH</f>
        <v>48</v>
      </c>
      <c r="BA26" s="18">
        <f>AT26*W/sW</f>
        <v>128</v>
      </c>
      <c r="BB26" s="14" t="str">
        <f>", "&amp;SUBSTITUTE(SUBSTITUTE(SUBSTITUTE(SUBSTITUTE(SUBSTITUTE(SUBSTITUTE(RECT,"%i",AV26),"%n",AW26),"%L",AY26),"%T",AX26),"%W",BA26),"%H",AZ26)</f>
        <v>, new Zone { Id = 25, Name = "promo 1", Rect = new Rect { Left = 864, Top = 288, Width = 128, Height = 48 } }</v>
      </c>
    </row>
    <row r="27" spans="1:54" x14ac:dyDescent="0.25">
      <c r="A27" s="1"/>
      <c r="B27" s="1"/>
      <c r="C27" s="1"/>
      <c r="D27" s="1"/>
      <c r="E27" s="2"/>
      <c r="F27" s="2"/>
      <c r="G27" s="2"/>
      <c r="H27" s="6"/>
      <c r="I27" s="6"/>
      <c r="J27" s="9"/>
      <c r="K27" s="9"/>
      <c r="L27" s="9"/>
      <c r="M27" s="9"/>
      <c r="N27" s="9"/>
      <c r="O27" s="9"/>
      <c r="P27" s="9"/>
      <c r="Q27" s="9"/>
      <c r="R27" s="9"/>
      <c r="S27" s="6"/>
      <c r="T27" s="6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6"/>
      <c r="AG27" s="6"/>
      <c r="AH27" s="7"/>
      <c r="AI27" s="7"/>
      <c r="AJ27" s="7"/>
      <c r="AK27" s="7"/>
      <c r="AL27" s="7"/>
      <c r="AM27" s="7"/>
      <c r="AN27" s="7"/>
      <c r="AO27" s="8" t="s">
        <v>25</v>
      </c>
      <c r="AP27" s="8">
        <v>12566463</v>
      </c>
      <c r="AQ27" s="8">
        <v>14</v>
      </c>
      <c r="AR27" s="8">
        <v>9</v>
      </c>
      <c r="AS27" s="8">
        <v>3</v>
      </c>
      <c r="AT27" s="8">
        <v>9</v>
      </c>
      <c r="AV27" s="17">
        <f t="shared" si="2"/>
        <v>26</v>
      </c>
      <c r="AW27" s="17" t="str">
        <f t="shared" si="3"/>
        <v>e</v>
      </c>
      <c r="AX27" s="18">
        <f>AQ27*H/sH</f>
        <v>336</v>
      </c>
      <c r="AY27" s="18">
        <f>AR27*W/sW</f>
        <v>288</v>
      </c>
      <c r="AZ27" s="18">
        <f>AS27*H/sH</f>
        <v>72</v>
      </c>
      <c r="BA27" s="18">
        <f>AT27*W/sW</f>
        <v>288</v>
      </c>
      <c r="BB27" s="14" t="str">
        <f>", "&amp;SUBSTITUTE(SUBSTITUTE(SUBSTITUTE(SUBSTITUTE(SUBSTITUTE(SUBSTITUTE(RECT,"%i",AV27),"%n",AW27),"%L",AY27),"%T",AX27),"%W",BA27),"%H",AZ27)</f>
        <v>, new Zone { Id = 26, Name = "e", Rect = new Rect { Left = 288, Top = 336, Width = 288, Height = 72 } }</v>
      </c>
    </row>
    <row r="28" spans="1:54" x14ac:dyDescent="0.25">
      <c r="A28" s="1"/>
      <c r="B28" s="1"/>
      <c r="C28" s="1"/>
      <c r="D28" s="1"/>
      <c r="E28" s="8" t="s">
        <v>25</v>
      </c>
      <c r="F28" s="8"/>
      <c r="G28" s="8"/>
      <c r="H28" s="6"/>
      <c r="I28" s="6"/>
      <c r="J28" s="5" t="s">
        <v>13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6"/>
      <c r="AG28" s="6"/>
      <c r="AH28" s="7"/>
      <c r="AI28" s="7"/>
      <c r="AJ28" s="7"/>
      <c r="AK28" s="7"/>
      <c r="AL28" s="7"/>
      <c r="AM28" s="7"/>
      <c r="AN28" s="7"/>
      <c r="AO28" s="8" t="s">
        <v>25</v>
      </c>
      <c r="AP28" s="8">
        <v>12566463</v>
      </c>
      <c r="AQ28" s="8">
        <v>14</v>
      </c>
      <c r="AR28" s="8">
        <v>20</v>
      </c>
      <c r="AS28" s="8">
        <v>3</v>
      </c>
      <c r="AT28" s="8">
        <v>11</v>
      </c>
      <c r="AV28" s="17">
        <f t="shared" si="2"/>
        <v>27</v>
      </c>
      <c r="AW28" s="17" t="str">
        <f t="shared" si="3"/>
        <v>e</v>
      </c>
      <c r="AX28" s="18">
        <f>AQ28*H/sH</f>
        <v>336</v>
      </c>
      <c r="AY28" s="18">
        <f>AR28*W/sW</f>
        <v>640</v>
      </c>
      <c r="AZ28" s="18">
        <f>AS28*H/sH</f>
        <v>72</v>
      </c>
      <c r="BA28" s="18">
        <f>AT28*W/sW</f>
        <v>352</v>
      </c>
      <c r="BB28" s="14" t="str">
        <f>", "&amp;SUBSTITUTE(SUBSTITUTE(SUBSTITUTE(SUBSTITUTE(SUBSTITUTE(SUBSTITUTE(RECT,"%i",AV28),"%n",AW28),"%L",AY28),"%T",AX28),"%W",BA28),"%H",AZ28)</f>
        <v>, new Zone { Id = 27, Name = "e", Rect = new Rect { Left = 640, Top = 336, Width = 352, Height = 72 } }</v>
      </c>
    </row>
    <row r="29" spans="1:54" x14ac:dyDescent="0.25">
      <c r="A29" s="1"/>
      <c r="B29" s="1"/>
      <c r="C29" s="1"/>
      <c r="D29" s="1"/>
      <c r="E29" s="8"/>
      <c r="F29" s="8"/>
      <c r="G29" s="8"/>
      <c r="H29" s="6"/>
      <c r="I29" s="6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6"/>
      <c r="AG29" s="6"/>
      <c r="AH29" s="7"/>
      <c r="AI29" s="7"/>
      <c r="AJ29" s="7"/>
      <c r="AK29" s="7"/>
      <c r="AL29" s="7"/>
      <c r="AM29" s="7"/>
      <c r="AN29" s="7"/>
      <c r="AO29" s="8" t="s">
        <v>25</v>
      </c>
      <c r="AP29" s="8">
        <v>14277081</v>
      </c>
      <c r="AQ29" s="8">
        <v>17</v>
      </c>
      <c r="AR29" s="8">
        <v>4</v>
      </c>
      <c r="AS29" s="8">
        <v>4</v>
      </c>
      <c r="AT29" s="8">
        <v>3</v>
      </c>
      <c r="AV29" s="17">
        <f t="shared" si="2"/>
        <v>28</v>
      </c>
      <c r="AW29" s="17" t="str">
        <f t="shared" si="3"/>
        <v>e</v>
      </c>
      <c r="AX29" s="18">
        <f>AQ29*H/sH</f>
        <v>408</v>
      </c>
      <c r="AY29" s="18">
        <f>AR29*W/sW</f>
        <v>128</v>
      </c>
      <c r="AZ29" s="18">
        <f>AS29*H/sH</f>
        <v>96</v>
      </c>
      <c r="BA29" s="18">
        <f>AT29*W/sW</f>
        <v>96</v>
      </c>
      <c r="BB29" s="14" t="str">
        <f>", "&amp;SUBSTITUTE(SUBSTITUTE(SUBSTITUTE(SUBSTITUTE(SUBSTITUTE(SUBSTITUTE(RECT,"%i",AV29),"%n",AW29),"%L",AY29),"%T",AX29),"%W",BA29),"%H",AZ29)</f>
        <v>, new Zone { Id = 28, Name = "e", Rect = new Rect { Left = 128, Top = 408, Width = 96, Height = 96 } }</v>
      </c>
    </row>
    <row r="30" spans="1:54" x14ac:dyDescent="0.25">
      <c r="A30" s="1"/>
      <c r="B30" s="1"/>
      <c r="C30" s="1"/>
      <c r="D30" s="1"/>
      <c r="E30" s="8"/>
      <c r="F30" s="8"/>
      <c r="G30" s="8"/>
      <c r="H30" s="9" t="s">
        <v>25</v>
      </c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8" t="s">
        <v>5</v>
      </c>
      <c r="AP30" s="8">
        <v>14395790</v>
      </c>
      <c r="AQ30" s="8">
        <v>17</v>
      </c>
      <c r="AR30" s="8">
        <v>9</v>
      </c>
      <c r="AS30" s="8">
        <v>2</v>
      </c>
      <c r="AT30" s="8">
        <v>9</v>
      </c>
      <c r="AV30" s="17">
        <f t="shared" si="2"/>
        <v>29</v>
      </c>
      <c r="AW30" s="17" t="str">
        <f t="shared" si="3"/>
        <v>corsia 3</v>
      </c>
      <c r="AX30" s="18">
        <f>AQ30*H/sH</f>
        <v>408</v>
      </c>
      <c r="AY30" s="18">
        <f>AR30*W/sW</f>
        <v>288</v>
      </c>
      <c r="AZ30" s="18">
        <f>AS30*H/sH</f>
        <v>48</v>
      </c>
      <c r="BA30" s="18">
        <f>AT30*W/sW</f>
        <v>288</v>
      </c>
      <c r="BB30" s="14" t="str">
        <f>", "&amp;SUBSTITUTE(SUBSTITUTE(SUBSTITUTE(SUBSTITUTE(SUBSTITUTE(SUBSTITUTE(RECT,"%i",AV30),"%n",AW30),"%L",AY30),"%T",AX30),"%W",BA30),"%H",AZ30)</f>
        <v>, new Zone { Id = 29, Name = "corsia 3", Rect = new Rect { Left = 288, Top = 408, Width = 288, Height = 48 } }</v>
      </c>
    </row>
    <row r="31" spans="1:54" x14ac:dyDescent="0.25">
      <c r="AO31" s="8" t="s">
        <v>6</v>
      </c>
      <c r="AP31" s="8">
        <v>14395790</v>
      </c>
      <c r="AQ31" s="8">
        <v>17</v>
      </c>
      <c r="AR31" s="8">
        <v>20</v>
      </c>
      <c r="AS31" s="8">
        <v>2</v>
      </c>
      <c r="AT31" s="8">
        <v>11</v>
      </c>
      <c r="AV31" s="17">
        <f t="shared" si="2"/>
        <v>30</v>
      </c>
      <c r="AW31" s="17" t="str">
        <f t="shared" si="3"/>
        <v>corsia 4</v>
      </c>
      <c r="AX31" s="18">
        <f>AQ31*H/sH</f>
        <v>408</v>
      </c>
      <c r="AY31" s="18">
        <f>AR31*W/sW</f>
        <v>640</v>
      </c>
      <c r="AZ31" s="18">
        <f>AS31*H/sH</f>
        <v>48</v>
      </c>
      <c r="BA31" s="18">
        <f>AT31*W/sW</f>
        <v>352</v>
      </c>
      <c r="BB31" s="14" t="str">
        <f>", "&amp;SUBSTITUTE(SUBSTITUTE(SUBSTITUTE(SUBSTITUTE(SUBSTITUTE(SUBSTITUTE(RECT,"%i",AV31),"%n",AW31),"%L",AY31),"%T",AX31),"%W",BA31),"%H",AZ31)</f>
        <v>, new Zone { Id = 30, Name = "corsia 4", Rect = new Rect { Left = 640, Top = 408, Width = 352, Height = 48 } }</v>
      </c>
    </row>
    <row r="32" spans="1:54" x14ac:dyDescent="0.25">
      <c r="E32" t="s">
        <v>37</v>
      </c>
      <c r="N32" s="12">
        <v>1280</v>
      </c>
      <c r="O32" s="12"/>
      <c r="P32" s="12">
        <v>720</v>
      </c>
      <c r="Q32" s="12"/>
      <c r="S32">
        <v>40</v>
      </c>
      <c r="T32">
        <v>30</v>
      </c>
      <c r="X32" s="11">
        <f>W/sW</f>
        <v>32</v>
      </c>
      <c r="Y32" s="11"/>
      <c r="AA32" s="11">
        <f>H/sH</f>
        <v>24</v>
      </c>
      <c r="AB32" s="11"/>
      <c r="AO32" s="8" t="s">
        <v>19</v>
      </c>
      <c r="AP32" s="8">
        <v>8696052</v>
      </c>
      <c r="AQ32" s="8">
        <v>17</v>
      </c>
      <c r="AR32" s="8">
        <v>33</v>
      </c>
      <c r="AS32" s="8">
        <v>7</v>
      </c>
      <c r="AT32" s="8">
        <v>7</v>
      </c>
      <c r="AV32" s="17">
        <f t="shared" si="2"/>
        <v>31</v>
      </c>
      <c r="AW32" s="17" t="str">
        <f t="shared" si="3"/>
        <v>servito 2</v>
      </c>
      <c r="AX32" s="18">
        <f>AQ32*H/sH</f>
        <v>408</v>
      </c>
      <c r="AY32" s="18">
        <f>AR32*W/sW</f>
        <v>1056</v>
      </c>
      <c r="AZ32" s="18">
        <f>AS32*H/sH</f>
        <v>168</v>
      </c>
      <c r="BA32" s="18">
        <f>AT32*W/sW</f>
        <v>224</v>
      </c>
      <c r="BB32" s="14" t="str">
        <f>", "&amp;SUBSTITUTE(SUBSTITUTE(SUBSTITUTE(SUBSTITUTE(SUBSTITUTE(SUBSTITUTE(RECT,"%i",AV32),"%n",AW32),"%L",AY32),"%T",AX32),"%W",BA32),"%H",AZ32)</f>
        <v>, new Zone { Id = 31, Name = "servito 2", Rect = new Rect { Left = 1056, Top = 408, Width = 224, Height = 168 } }</v>
      </c>
    </row>
    <row r="33" spans="5:54" x14ac:dyDescent="0.25">
      <c r="AO33" s="8" t="s">
        <v>25</v>
      </c>
      <c r="AP33" s="8">
        <v>12566463</v>
      </c>
      <c r="AQ33" s="8">
        <v>19</v>
      </c>
      <c r="AR33" s="8">
        <v>9</v>
      </c>
      <c r="AS33" s="8">
        <v>3</v>
      </c>
      <c r="AT33" s="8">
        <v>9</v>
      </c>
      <c r="AV33" s="17">
        <f t="shared" si="2"/>
        <v>32</v>
      </c>
      <c r="AW33" s="17" t="str">
        <f t="shared" si="3"/>
        <v>e</v>
      </c>
      <c r="AX33" s="18">
        <f>AQ33*H/sH</f>
        <v>456</v>
      </c>
      <c r="AY33" s="18">
        <f>AR33*W/sW</f>
        <v>288</v>
      </c>
      <c r="AZ33" s="18">
        <f>AS33*H/sH</f>
        <v>72</v>
      </c>
      <c r="BA33" s="18">
        <f>AT33*W/sW</f>
        <v>288</v>
      </c>
      <c r="BB33" s="14" t="str">
        <f>", "&amp;SUBSTITUTE(SUBSTITUTE(SUBSTITUTE(SUBSTITUTE(SUBSTITUTE(SUBSTITUTE(RECT,"%i",AV33),"%n",AW33),"%L",AY33),"%T",AX33),"%W",BA33),"%H",AZ33)</f>
        <v>, new Zone { Id = 32, Name = "e", Rect = new Rect { Left = 288, Top = 456, Width = 288, Height = 72 } }</v>
      </c>
    </row>
    <row r="34" spans="5:54" x14ac:dyDescent="0.25">
      <c r="E34" t="s">
        <v>38</v>
      </c>
      <c r="AO34" s="8" t="s">
        <v>25</v>
      </c>
      <c r="AP34" s="8">
        <v>12566463</v>
      </c>
      <c r="AQ34" s="8">
        <v>19</v>
      </c>
      <c r="AR34" s="8">
        <v>20</v>
      </c>
      <c r="AS34" s="8">
        <v>3</v>
      </c>
      <c r="AT34" s="8">
        <v>11</v>
      </c>
      <c r="AV34" s="17">
        <f t="shared" si="2"/>
        <v>33</v>
      </c>
      <c r="AW34" s="17" t="str">
        <f t="shared" si="3"/>
        <v>e</v>
      </c>
      <c r="AX34" s="18">
        <f>AQ34*H/sH</f>
        <v>456</v>
      </c>
      <c r="AY34" s="18">
        <f>AR34*W/sW</f>
        <v>640</v>
      </c>
      <c r="AZ34" s="18">
        <f>AS34*H/sH</f>
        <v>72</v>
      </c>
      <c r="BA34" s="18">
        <f>AT34*W/sW</f>
        <v>352</v>
      </c>
      <c r="BB34" s="14" t="str">
        <f>", "&amp;SUBSTITUTE(SUBSTITUTE(SUBSTITUTE(SUBSTITUTE(SUBSTITUTE(SUBSTITUTE(RECT,"%i",AV34),"%n",AW34),"%L",AY34),"%T",AX34),"%W",BA34),"%H",AZ34)</f>
        <v>, new Zone { Id = 33, Name = "e", Rect = new Rect { Left = 640, Top = 456, Width = 352, Height = 72 } }</v>
      </c>
    </row>
    <row r="35" spans="5:54" x14ac:dyDescent="0.25">
      <c r="G35" t="s">
        <v>34</v>
      </c>
      <c r="AO35" s="8" t="s">
        <v>2</v>
      </c>
      <c r="AP35" s="8">
        <v>49407</v>
      </c>
      <c r="AQ35" s="8">
        <v>21</v>
      </c>
      <c r="AR35" s="8">
        <v>4</v>
      </c>
      <c r="AS35" s="8">
        <v>6</v>
      </c>
      <c r="AT35" s="8">
        <v>3</v>
      </c>
      <c r="AV35" s="17">
        <f t="shared" si="2"/>
        <v>34</v>
      </c>
      <c r="AW35" s="17" t="str">
        <f t="shared" si="3"/>
        <v>ingresso</v>
      </c>
      <c r="AX35" s="18">
        <f>AQ35*H/sH</f>
        <v>504</v>
      </c>
      <c r="AY35" s="18">
        <f>AR35*W/sW</f>
        <v>128</v>
      </c>
      <c r="AZ35" s="18">
        <f>AS35*H/sH</f>
        <v>144</v>
      </c>
      <c r="BA35" s="18">
        <f>AT35*W/sW</f>
        <v>96</v>
      </c>
      <c r="BB35" s="14" t="str">
        <f>", "&amp;SUBSTITUTE(SUBSTITUTE(SUBSTITUTE(SUBSTITUTE(SUBSTITUTE(SUBSTITUTE(RECT,"%i",AV35),"%n",AW35),"%L",AY35),"%T",AX35),"%W",BA35),"%H",AZ35)</f>
        <v>, new Zone { Id = 34, Name = "ingresso", Rect = new Rect { Left = 128, Top = 504, Width = 96, Height = 144 } }</v>
      </c>
    </row>
    <row r="36" spans="5:54" x14ac:dyDescent="0.25">
      <c r="AO36" s="8" t="s">
        <v>3</v>
      </c>
      <c r="AP36" s="8">
        <v>14395790</v>
      </c>
      <c r="AQ36" s="8">
        <v>22</v>
      </c>
      <c r="AR36" s="8">
        <v>9</v>
      </c>
      <c r="AS36" s="8">
        <v>2</v>
      </c>
      <c r="AT36" s="8">
        <v>9</v>
      </c>
      <c r="AV36" s="17">
        <f t="shared" si="2"/>
        <v>35</v>
      </c>
      <c r="AW36" s="17" t="str">
        <f t="shared" si="3"/>
        <v>corsia 1</v>
      </c>
      <c r="AX36" s="18">
        <f>AQ36*H/sH</f>
        <v>528</v>
      </c>
      <c r="AY36" s="18">
        <f>AR36*W/sW</f>
        <v>288</v>
      </c>
      <c r="AZ36" s="18">
        <f>AS36*H/sH</f>
        <v>48</v>
      </c>
      <c r="BA36" s="18">
        <f>AT36*W/sW</f>
        <v>288</v>
      </c>
      <c r="BB36" s="14" t="str">
        <f>", "&amp;SUBSTITUTE(SUBSTITUTE(SUBSTITUTE(SUBSTITUTE(SUBSTITUTE(SUBSTITUTE(RECT,"%i",AV36),"%n",AW36),"%L",AY36),"%T",AX36),"%W",BA36),"%H",AZ36)</f>
        <v>, new Zone { Id = 35, Name = "corsia 1", Rect = new Rect { Left = 288, Top = 528, Width = 288, Height = 48 } }</v>
      </c>
    </row>
    <row r="37" spans="5:54" x14ac:dyDescent="0.25">
      <c r="E37" t="s">
        <v>35</v>
      </c>
      <c r="AO37" s="8" t="s">
        <v>4</v>
      </c>
      <c r="AP37" s="8">
        <v>14395790</v>
      </c>
      <c r="AQ37" s="8">
        <v>22</v>
      </c>
      <c r="AR37" s="8">
        <v>20</v>
      </c>
      <c r="AS37" s="8">
        <v>2</v>
      </c>
      <c r="AT37" s="8">
        <v>11</v>
      </c>
      <c r="AV37" s="17">
        <f t="shared" si="2"/>
        <v>36</v>
      </c>
      <c r="AW37" s="17" t="str">
        <f t="shared" si="3"/>
        <v>corsia 2</v>
      </c>
      <c r="AX37" s="18">
        <f>AQ37*H/sH</f>
        <v>528</v>
      </c>
      <c r="AY37" s="18">
        <f>AR37*W/sW</f>
        <v>640</v>
      </c>
      <c r="AZ37" s="18">
        <f>AS37*H/sH</f>
        <v>48</v>
      </c>
      <c r="BA37" s="18">
        <f>AT37*W/sW</f>
        <v>352</v>
      </c>
      <c r="BB37" s="14" t="str">
        <f>", "&amp;SUBSTITUTE(SUBSTITUTE(SUBSTITUTE(SUBSTITUTE(SUBSTITUTE(SUBSTITUTE(RECT,"%i",AV37),"%n",AW37),"%L",AY37),"%T",AX37),"%W",BA37),"%H",AZ37)</f>
        <v>, new Zone { Id = 36, Name = "corsia 2", Rect = new Rect { Left = 640, Top = 528, Width = 352, Height = 48 } }</v>
      </c>
    </row>
    <row r="38" spans="5:54" x14ac:dyDescent="0.25">
      <c r="E38" t="s">
        <v>36</v>
      </c>
      <c r="AO38" s="8" t="s">
        <v>25</v>
      </c>
      <c r="AP38" s="8">
        <v>12566463</v>
      </c>
      <c r="AQ38" s="8">
        <v>24</v>
      </c>
      <c r="AR38" s="8">
        <v>9</v>
      </c>
      <c r="AS38" s="8">
        <v>3</v>
      </c>
      <c r="AT38" s="8">
        <v>9</v>
      </c>
      <c r="AV38" s="17">
        <f t="shared" si="2"/>
        <v>37</v>
      </c>
      <c r="AW38" s="17" t="str">
        <f t="shared" si="3"/>
        <v>e</v>
      </c>
      <c r="AX38" s="18">
        <f>AQ38*H/sH</f>
        <v>576</v>
      </c>
      <c r="AY38" s="18">
        <f>AR38*W/sW</f>
        <v>288</v>
      </c>
      <c r="AZ38" s="18">
        <f>AS38*H/sH</f>
        <v>72</v>
      </c>
      <c r="BA38" s="18">
        <f>AT38*W/sW</f>
        <v>288</v>
      </c>
      <c r="BB38" s="14" t="str">
        <f>", "&amp;SUBSTITUTE(SUBSTITUTE(SUBSTITUTE(SUBSTITUTE(SUBSTITUTE(SUBSTITUTE(RECT,"%i",AV38),"%n",AW38),"%L",AY38),"%T",AX38),"%W",BA38),"%H",AZ38)</f>
        <v>, new Zone { Id = 37, Name = "e", Rect = new Rect { Left = 288, Top = 576, Width = 288, Height = 72 } }</v>
      </c>
    </row>
    <row r="39" spans="5:54" x14ac:dyDescent="0.25">
      <c r="AO39" s="8" t="s">
        <v>25</v>
      </c>
      <c r="AP39" s="8">
        <v>12566463</v>
      </c>
      <c r="AQ39" s="8">
        <v>24</v>
      </c>
      <c r="AR39" s="8">
        <v>20</v>
      </c>
      <c r="AS39" s="8">
        <v>3</v>
      </c>
      <c r="AT39" s="8">
        <v>11</v>
      </c>
      <c r="AV39" s="17">
        <f t="shared" si="2"/>
        <v>38</v>
      </c>
      <c r="AW39" s="17" t="str">
        <f t="shared" si="3"/>
        <v>e</v>
      </c>
      <c r="AX39" s="18">
        <f>AQ39*H/sH</f>
        <v>576</v>
      </c>
      <c r="AY39" s="18">
        <f>AR39*W/sW</f>
        <v>640</v>
      </c>
      <c r="AZ39" s="18">
        <f>AS39*H/sH</f>
        <v>72</v>
      </c>
      <c r="BA39" s="18">
        <f>AT39*W/sW</f>
        <v>352</v>
      </c>
      <c r="BB39" s="14" t="str">
        <f>", "&amp;SUBSTITUTE(SUBSTITUTE(SUBSTITUTE(SUBSTITUTE(SUBSTITUTE(SUBSTITUTE(RECT,"%i",AV39),"%n",AW39),"%L",AY39),"%T",AX39),"%W",BA39),"%H",AZ39)</f>
        <v>, new Zone { Id = 38, Name = "e", Rect = new Rect { Left = 640, Top = 576, Width = 352, Height = 72 } }</v>
      </c>
    </row>
    <row r="40" spans="5:54" x14ac:dyDescent="0.25">
      <c r="E40" t="s">
        <v>39</v>
      </c>
      <c r="AO40" s="8" t="s">
        <v>20</v>
      </c>
      <c r="AP40" s="8">
        <v>3243501</v>
      </c>
      <c r="AQ40" s="8">
        <v>24</v>
      </c>
      <c r="AR40" s="8">
        <v>33</v>
      </c>
      <c r="AS40" s="8">
        <v>5</v>
      </c>
      <c r="AT40" s="8">
        <v>7</v>
      </c>
      <c r="AV40" s="17">
        <f t="shared" si="2"/>
        <v>39</v>
      </c>
      <c r="AW40" s="17" t="str">
        <f t="shared" si="3"/>
        <v>servito 3</v>
      </c>
      <c r="AX40" s="18">
        <f>AQ40*H/sH</f>
        <v>576</v>
      </c>
      <c r="AY40" s="18">
        <f>AR40*W/sW</f>
        <v>1056</v>
      </c>
      <c r="AZ40" s="18">
        <f>AS40*H/sH</f>
        <v>120</v>
      </c>
      <c r="BA40" s="18">
        <f>AT40*W/sW</f>
        <v>224</v>
      </c>
      <c r="BB40" s="14" t="str">
        <f>", "&amp;SUBSTITUTE(SUBSTITUTE(SUBSTITUTE(SUBSTITUTE(SUBSTITUTE(SUBSTITUTE(RECT,"%i",AV40),"%n",AW40),"%L",AY40),"%T",AX40),"%W",BA40),"%H",AZ40)</f>
        <v>, new Zone { Id = 39, Name = "servito 3", Rect = new Rect { Left = 1056, Top = 576, Width = 224, Height = 120 } }</v>
      </c>
    </row>
    <row r="41" spans="5:54" x14ac:dyDescent="0.25">
      <c r="E41" t="s">
        <v>41</v>
      </c>
      <c r="AO41" s="8" t="s">
        <v>25</v>
      </c>
      <c r="AP41" s="8">
        <v>14277081</v>
      </c>
      <c r="AQ41" s="8">
        <v>27</v>
      </c>
      <c r="AR41" s="8">
        <v>4</v>
      </c>
      <c r="AS41" s="8">
        <v>3</v>
      </c>
      <c r="AT41" s="8">
        <v>3</v>
      </c>
      <c r="AV41" s="17">
        <f t="shared" si="2"/>
        <v>40</v>
      </c>
      <c r="AW41" s="17" t="str">
        <f t="shared" si="3"/>
        <v>e</v>
      </c>
      <c r="AX41" s="18">
        <f>AQ41*H/sH</f>
        <v>648</v>
      </c>
      <c r="AY41" s="18">
        <f>AR41*W/sW</f>
        <v>128</v>
      </c>
      <c r="AZ41" s="18">
        <f>AS41*H/sH</f>
        <v>72</v>
      </c>
      <c r="BA41" s="18">
        <f>AT41*W/sW</f>
        <v>96</v>
      </c>
      <c r="BB41" s="14" t="str">
        <f>", "&amp;SUBSTITUTE(SUBSTITUTE(SUBSTITUTE(SUBSTITUTE(SUBSTITUTE(SUBSTITUTE(RECT,"%i",AV41),"%n",AW41),"%L",AY41),"%T",AX41),"%W",BA41),"%H",AZ41)</f>
        <v>, new Zone { Id = 40, Name = "e", Rect = new Rect { Left = 128, Top = 648, Width = 96, Height = 72 } }</v>
      </c>
    </row>
    <row r="42" spans="5:54" x14ac:dyDescent="0.25">
      <c r="AO42" s="8" t="s">
        <v>13</v>
      </c>
      <c r="AP42" s="8">
        <v>10086143</v>
      </c>
      <c r="AQ42" s="8">
        <v>27</v>
      </c>
      <c r="AR42" s="8">
        <v>9</v>
      </c>
      <c r="AS42" s="8">
        <v>2</v>
      </c>
      <c r="AT42" s="8">
        <v>22</v>
      </c>
      <c r="AV42" s="17">
        <f t="shared" si="2"/>
        <v>41</v>
      </c>
      <c r="AW42" s="17" t="str">
        <f t="shared" si="3"/>
        <v>acque</v>
      </c>
      <c r="AX42" s="18">
        <f>AQ42*H/sH</f>
        <v>648</v>
      </c>
      <c r="AY42" s="18">
        <f>AR42*W/sW</f>
        <v>288</v>
      </c>
      <c r="AZ42" s="18">
        <f>AS42*H/sH</f>
        <v>48</v>
      </c>
      <c r="BA42" s="18">
        <f>AT42*W/sW</f>
        <v>704</v>
      </c>
      <c r="BB42" s="14" t="str">
        <f>", "&amp;SUBSTITUTE(SUBSTITUTE(SUBSTITUTE(SUBSTITUTE(SUBSTITUTE(SUBSTITUTE(RECT,"%i",AV42),"%n",AW42),"%L",AY42),"%T",AX42),"%W",BA42),"%H",AZ42)</f>
        <v>, new Zone { Id = 41, Name = "acque", Rect = new Rect { Left = 288, Top = 648, Width = 704, Height = 48 } }</v>
      </c>
    </row>
    <row r="43" spans="5:54" x14ac:dyDescent="0.25">
      <c r="AO43" s="8" t="s">
        <v>25</v>
      </c>
      <c r="AP43" s="8">
        <v>12566463</v>
      </c>
      <c r="AQ43" s="8">
        <v>29</v>
      </c>
      <c r="AR43" s="8">
        <v>7</v>
      </c>
      <c r="AS43" s="8">
        <v>1</v>
      </c>
      <c r="AT43" s="8">
        <v>33</v>
      </c>
      <c r="AV43" s="17">
        <f t="shared" si="2"/>
        <v>42</v>
      </c>
      <c r="AW43" s="17" t="str">
        <f t="shared" si="3"/>
        <v>e</v>
      </c>
      <c r="AX43" s="18">
        <f>AQ43*H/sH</f>
        <v>696</v>
      </c>
      <c r="AY43" s="18">
        <f>AR43*W/sW</f>
        <v>224</v>
      </c>
      <c r="AZ43" s="18">
        <f>AS43*H/sH</f>
        <v>24</v>
      </c>
      <c r="BA43" s="18">
        <f>AT43*W/sW</f>
        <v>1056</v>
      </c>
      <c r="BB43" s="14" t="str">
        <f>", "&amp;SUBSTITUTE(SUBSTITUTE(SUBSTITUTE(SUBSTITUTE(SUBSTITUTE(SUBSTITUTE(RECT,"%i",AV43),"%n",AW43),"%L",AY43),"%T",AX43),"%W",BA43),"%H",AZ43)</f>
        <v>, new Zone { Id = 42, Name = "e", Rect = new Rect { Left = 224, Top = 696, Width = 1056, Height = 24 } }</v>
      </c>
    </row>
  </sheetData>
  <mergeCells count="4">
    <mergeCell ref="N32:O32"/>
    <mergeCell ref="P32:Q32"/>
    <mergeCell ref="X32:Y32"/>
    <mergeCell ref="AA32:AB32"/>
  </mergeCell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p.makeRects">
                <anchor moveWithCells="1" sizeWithCells="1">
                  <from>
                    <xdr:col>30</xdr:col>
                    <xdr:colOff>180975</xdr:colOff>
                    <xdr:row>38</xdr:row>
                    <xdr:rowOff>9525</xdr:rowOff>
                  </from>
                  <to>
                    <xdr:col>38</xdr:col>
                    <xdr:colOff>47625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</vt:i4>
      </vt:variant>
      <vt:variant>
        <vt:lpstr>Intervalli denominati</vt:lpstr>
      </vt:variant>
      <vt:variant>
        <vt:i4>5</vt:i4>
      </vt:variant>
    </vt:vector>
  </HeadingPairs>
  <TitlesOfParts>
    <vt:vector size="6" baseType="lpstr">
      <vt:lpstr>Mappa</vt:lpstr>
      <vt:lpstr>H</vt:lpstr>
      <vt:lpstr>RECT</vt:lpstr>
      <vt:lpstr>sH</vt:lpstr>
      <vt:lpstr>sW</vt:lpstr>
      <vt:lpstr>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Conan</dc:creator>
  <cp:lastModifiedBy>Conan</cp:lastModifiedBy>
  <dcterms:created xsi:type="dcterms:W3CDTF">2019-06-06T16:45:49Z</dcterms:created>
  <dcterms:modified xsi:type="dcterms:W3CDTF">2019-06-10T10:35:08Z</dcterms:modified>
</cp:coreProperties>
</file>